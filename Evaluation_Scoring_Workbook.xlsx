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US" sheetId="2" state="visible" r:id="rId2"/>
    <sheet xmlns:r="http://schemas.openxmlformats.org/officeDocument/2006/relationships" name="ISO_Citizen" sheetId="3" state="visible" r:id="rId3"/>
    <sheet xmlns:r="http://schemas.openxmlformats.org/officeDocument/2006/relationships" name="ISO_Expe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E40AF"/>
      <sz val="14"/>
    </font>
    <font>
      <name val="Arial"/>
      <sz val="10"/>
    </font>
    <font>
      <name val="Arial"/>
      <b val="1"/>
      <sz val="10"/>
    </font>
    <font>
      <name val="Arial"/>
      <i val="1"/>
      <color rgb="0064748B"/>
      <sz val="9"/>
    </font>
    <font>
      <name val="Arial"/>
      <i val="1"/>
      <color rgb="00B45309"/>
      <sz val="9"/>
    </font>
    <font>
      <name val="Arial"/>
      <color rgb="000000FF"/>
      <sz val="10"/>
    </font>
    <font>
      <name val="Arial"/>
      <i val="1"/>
      <sz val="9"/>
    </font>
    <font>
      <name val="Arial"/>
      <sz val="9"/>
    </font>
    <font>
      <name val="Arial"/>
      <b val="1"/>
      <color rgb="001E40AF"/>
      <sz val="11"/>
    </font>
    <font>
      <name val="Arial"/>
      <sz val="8"/>
    </font>
    <font>
      <name val="Arial"/>
      <color theme="1"/>
      <sz val="11"/>
    </font>
  </fonts>
  <fills count="6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FFF9C4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5" borderId="1" pivotButton="0" quotePrefix="0" xfId="0"/>
    <xf numFmtId="0" fontId="11" fillId="3" borderId="1" pivotButton="0" quotePrefix="0" xfId="0"/>
    <xf numFmtId="0" fontId="6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3" fillId="0" borderId="0" pivotButton="0" quotePrefix="0" xfId="0"/>
    <xf numFmtId="0" fontId="2" fillId="4" borderId="1" pivotButton="0" quotePrefix="0" xfId="0"/>
    <xf numFmtId="2" fontId="2" fillId="4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2" fillId="0" borderId="0" pivotButton="0" quotePrefix="0" xfId="0"/>
    <xf numFmtId="0" fontId="5" fillId="3" borderId="1" pivotButton="0" quotePrefix="0" xfId="0"/>
    <xf numFmtId="2" fontId="2" fillId="4" borderId="1" applyAlignment="1" pivotButton="0" quotePrefix="0" xfId="0">
      <alignment horizontal="center"/>
    </xf>
    <xf numFmtId="2" fontId="11" fillId="4" borderId="1" applyAlignment="1" pivotButton="0" quotePrefix="0" xfId="0">
      <alignment horizontal="center"/>
    </xf>
    <xf numFmtId="0" fontId="11" fillId="4" borderId="1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2" fontId="11" fillId="4" borderId="1" pivotButton="0" quotePrefix="0" xfId="0"/>
    <xf numFmtId="0" fontId="11" fillId="4" borderId="0" pivotButton="0" quotePrefix="0" xfId="0"/>
    <xf numFmtId="2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1">
      <c r="A1" s="1" t="n"/>
      <c r="B1" s="2" t="inlineStr">
        <is>
          <t>Evaluation Scoring Workbook — SUS and ISO/IEC 25010:2011</t>
        </is>
      </c>
    </row>
    <row r="2">
      <c r="A2" s="1" t="n"/>
      <c r="B2" s="3" t="inlineStr">
        <is>
          <t>Geo-Agentic RAG Intelligent System, Calamba City Hall</t>
        </is>
      </c>
    </row>
    <row r="3">
      <c r="A3" s="1" t="n"/>
      <c r="B3" s="3" t="inlineStr"/>
    </row>
    <row r="4">
      <c r="A4" s="1" t="n"/>
      <c r="B4" s="4" t="inlineStr">
        <is>
          <t>How to use</t>
        </is>
      </c>
    </row>
    <row r="5">
      <c r="A5" s="1" t="n"/>
      <c r="B5" s="3" t="inlineStr">
        <is>
          <t>1. Enter one respondent per row on each sheet. Only the YELLOW cells are for typing.</t>
        </is>
      </c>
    </row>
    <row r="6">
      <c r="A6" s="1" t="n"/>
      <c r="B6" s="3" t="inlineStr">
        <is>
          <t>2. Enter the raw response for every item: 1 = Strongly disagree ... 5 = Strongly agree.</t>
        </is>
      </c>
    </row>
    <row r="7">
      <c r="A7" s="1" t="n"/>
      <c r="B7" s="3" t="inlineStr">
        <is>
          <t>3. Enter SUS responses RAW. The sheet performs the odd/even recoding for you — do not pre-recode.</t>
        </is>
      </c>
    </row>
    <row r="8">
      <c r="A8" s="1" t="n"/>
      <c r="B8" s="3" t="inlineStr">
        <is>
          <t>4. Grey cells are formulas. Do not overwrite them.</t>
        </is>
      </c>
    </row>
    <row r="9">
      <c r="A9" s="1" t="n"/>
      <c r="B9" s="3" t="inlineStr">
        <is>
          <t>5. Row 4 of each data sheet is a worked SAMPLE showing the expected format. It is OUTSIDE</t>
        </is>
      </c>
    </row>
    <row r="10">
      <c r="A10" s="1" t="n"/>
      <c r="B10" s="3" t="inlineStr">
        <is>
          <t xml:space="preserve">   the calculated range, so you may leave it or delete it without affecting any result.</t>
        </is>
      </c>
    </row>
    <row r="11">
      <c r="A11" s="1" t="n"/>
      <c r="B11" s="3" t="inlineStr"/>
    </row>
    <row r="12">
      <c r="A12" s="1" t="n"/>
      <c r="B12" s="4" t="inlineStr">
        <is>
          <t>Sheets</t>
        </is>
      </c>
    </row>
    <row r="13">
      <c r="A13" s="1" t="n"/>
      <c r="B13" s="3" t="inlineStr">
        <is>
          <t>SUS                 — System Usability Scale: per-respondent score, group means, reliability.</t>
        </is>
      </c>
    </row>
    <row r="14">
      <c r="A14" s="1" t="n"/>
      <c r="B14" s="3" t="inlineStr">
        <is>
          <t>ISO_Citizen         — ISO/IEC 25010 for citizens and staff (14 items, 5 characteristics).</t>
        </is>
      </c>
    </row>
    <row r="15">
      <c r="A15" s="1" t="n"/>
      <c r="B15" s="3" t="inlineStr">
        <is>
          <t>ISO_Expert          — ISO/IEC 25010 for IT evaluators (24 items, 7 characteristics).</t>
        </is>
      </c>
    </row>
    <row r="16">
      <c r="A16" s="1" t="n"/>
      <c r="B16" s="3" t="inlineStr"/>
    </row>
    <row r="17">
      <c r="A17" s="1" t="n"/>
      <c r="B17" s="4" t="inlineStr">
        <is>
          <t>Scoring rules implemented</t>
        </is>
      </c>
    </row>
    <row r="18">
      <c r="A18" s="1" t="n"/>
      <c r="B18" s="3" t="inlineStr">
        <is>
          <t>SUS   : odd items contribute (response - 1); even items contribute (5 - response);</t>
        </is>
      </c>
    </row>
    <row r="19">
      <c r="A19" s="1" t="n"/>
      <c r="B19" s="3" t="inlineStr">
        <is>
          <t xml:space="preserve">        the ten contributions are summed (0-40) and multiplied by 2.5 to give 0-100.</t>
        </is>
      </c>
    </row>
    <row r="20">
      <c r="A20" s="1" t="n"/>
      <c r="B20" s="3" t="inlineStr">
        <is>
          <t xml:space="preserve">        A SUS score is NOT a percentage. Benchmark average = 68.0.</t>
        </is>
      </c>
    </row>
    <row r="21">
      <c r="A21" s="1" t="n"/>
      <c r="B21" s="3" t="inlineStr">
        <is>
          <t>ISO   : mean of the items within each characteristic, then the grand mean across characteristics.</t>
        </is>
      </c>
    </row>
    <row r="22">
      <c r="A22" s="1" t="n"/>
      <c r="B22" s="3" t="inlineStr">
        <is>
          <t>Alpha : Cronbach's alpha = (k/(k-1)) x (1 - sum of item variances / variance of the total score).</t>
        </is>
      </c>
    </row>
    <row r="23">
      <c r="A23" s="1" t="n"/>
      <c r="B23" s="3" t="inlineStr">
        <is>
          <t xml:space="preserve">        Conventional acceptability threshold is 0.70. Characteristics with only 2-3 items often</t>
        </is>
      </c>
    </row>
    <row r="24">
      <c r="A24" s="1" t="n"/>
      <c r="B24" s="3" t="inlineStr">
        <is>
          <t xml:space="preserve">        fall below it; report the value honestly and note the small item count as a limitation.</t>
        </is>
      </c>
    </row>
    <row r="25">
      <c r="A25" s="1" t="n"/>
      <c r="B25" s="3" t="inlineStr"/>
    </row>
    <row r="26">
      <c r="A26" s="1" t="n"/>
      <c r="B26" s="4" t="inlineStr">
        <is>
          <t>Interpretation bands</t>
        </is>
      </c>
    </row>
    <row r="27">
      <c r="A27" s="1" t="n"/>
      <c r="B27" s="3" t="inlineStr">
        <is>
          <t>SUS   : &gt;= 80.3 Excellent | 68.0-80.2 Good | 51.0-67.9 Below average | &lt; 51.0 Poor</t>
        </is>
      </c>
    </row>
    <row r="28">
      <c r="A28" s="1" t="n"/>
      <c r="B28" s="3" t="inlineStr">
        <is>
          <t>ISO   : 4.21-5.00 Excellent | 3.41-4.20 Very good | 2.61-3.40 Good | 1.81-2.60 Fair | 1.00-1.80 Poor</t>
        </is>
      </c>
    </row>
    <row r="29">
      <c r="A29" s="1" t="n"/>
      <c r="B29" s="3" t="inlineStr"/>
    </row>
    <row r="30">
      <c r="A30" s="1" t="n"/>
      <c r="B30" s="4" t="inlineStr">
        <is>
          <t>Sources</t>
        </is>
      </c>
    </row>
    <row r="31">
      <c r="A31" s="1" t="n"/>
      <c r="B31" s="3" t="inlineStr">
        <is>
          <t>Brooke, J. (1996). SUS: A quick and dirty usability scale. Usability Evaluation in Industry.</t>
        </is>
      </c>
    </row>
    <row r="32">
      <c r="A32" s="1" t="n"/>
      <c r="B32" s="3" t="inlineStr">
        <is>
          <t>Bangor, Kortum &amp; Miller (2008). An empirical evaluation of the System Usability Scale. IJHCI 24(6).</t>
        </is>
      </c>
    </row>
    <row r="33">
      <c r="A33" s="1" t="n"/>
      <c r="B33" s="3" t="inlineStr">
        <is>
          <t>Lewis, J. R. (2018). The System Usability Scale: Past, Present, and Future. IJHCI 34(7).</t>
        </is>
      </c>
    </row>
    <row r="34">
      <c r="A34" s="1" t="n"/>
      <c r="B34" s="3" t="inlineStr">
        <is>
          <t>ISO/IEC 25010:2011 Systems and software engineering - SQuaRE - System and software quality models.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2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15" customWidth="1" min="26" max="26"/>
  </cols>
  <sheetData>
    <row r="1">
      <c r="A1" s="1" t="n"/>
      <c r="B1" s="5" t="inlineStr">
        <is>
          <t>System Usability Scale — scoring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1" t="n"/>
      <c r="B2" s="6" t="inlineStr">
        <is>
          <t>Enter RAW responses (1-5) in the yellow Q1..Q10 cells. Recoding is automatic.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7" t="inlineStr">
        <is>
          <t>Respondent ID</t>
        </is>
      </c>
      <c r="C3" s="7" t="inlineStr">
        <is>
          <t>Group</t>
        </is>
      </c>
      <c r="D3" s="7" t="inlineStr">
        <is>
          <t>Q1</t>
        </is>
      </c>
      <c r="E3" s="7" t="inlineStr">
        <is>
          <t>Q2</t>
        </is>
      </c>
      <c r="F3" s="7" t="inlineStr">
        <is>
          <t>Q3</t>
        </is>
      </c>
      <c r="G3" s="7" t="inlineStr">
        <is>
          <t>Q4</t>
        </is>
      </c>
      <c r="H3" s="7" t="inlineStr">
        <is>
          <t>Q5</t>
        </is>
      </c>
      <c r="I3" s="7" t="inlineStr">
        <is>
          <t>Q6</t>
        </is>
      </c>
      <c r="J3" s="7" t="inlineStr">
        <is>
          <t>Q7</t>
        </is>
      </c>
      <c r="K3" s="7" t="inlineStr">
        <is>
          <t>Q8</t>
        </is>
      </c>
      <c r="L3" s="7" t="inlineStr">
        <is>
          <t>Q9</t>
        </is>
      </c>
      <c r="M3" s="7" t="inlineStr">
        <is>
          <t>Q10</t>
        </is>
      </c>
      <c r="N3" s="7" t="inlineStr">
        <is>
          <t>r1</t>
        </is>
      </c>
      <c r="O3" s="7" t="inlineStr">
        <is>
          <t>r2</t>
        </is>
      </c>
      <c r="P3" s="7" t="inlineStr">
        <is>
          <t>r3</t>
        </is>
      </c>
      <c r="Q3" s="7" t="inlineStr">
        <is>
          <t>r4</t>
        </is>
      </c>
      <c r="R3" s="7" t="inlineStr">
        <is>
          <t>r5</t>
        </is>
      </c>
      <c r="S3" s="7" t="inlineStr">
        <is>
          <t>r6</t>
        </is>
      </c>
      <c r="T3" s="7" t="inlineStr">
        <is>
          <t>r7</t>
        </is>
      </c>
      <c r="U3" s="7" t="inlineStr">
        <is>
          <t>r8</t>
        </is>
      </c>
      <c r="V3" s="7" t="inlineStr">
        <is>
          <t>r9</t>
        </is>
      </c>
      <c r="W3" s="7" t="inlineStr">
        <is>
          <t>r10</t>
        </is>
      </c>
      <c r="X3" s="7" t="inlineStr">
        <is>
          <t>Raw (0-40)</t>
        </is>
      </c>
      <c r="Y3" s="7" t="inlineStr">
        <is>
          <t>SUS (0-100)</t>
        </is>
      </c>
      <c r="Z3" s="7" t="inlineStr">
        <is>
          <t>Band</t>
        </is>
      </c>
    </row>
    <row r="4">
      <c r="A4" s="1" t="n"/>
      <c r="B4" s="8" t="inlineStr">
        <is>
          <t>SAMPLE (not counted)</t>
        </is>
      </c>
      <c r="C4" s="9" t="inlineStr">
        <is>
          <t>Citizen</t>
        </is>
      </c>
      <c r="D4" s="10" t="n">
        <v>4</v>
      </c>
      <c r="E4" s="10" t="n">
        <v>2</v>
      </c>
      <c r="F4" s="10" t="n">
        <v>4</v>
      </c>
      <c r="G4" s="10" t="n">
        <v>2</v>
      </c>
      <c r="H4" s="10" t="n">
        <v>4</v>
      </c>
      <c r="I4" s="10" t="n">
        <v>2</v>
      </c>
      <c r="J4" s="10" t="n">
        <v>5</v>
      </c>
      <c r="K4" s="10" t="n">
        <v>1</v>
      </c>
      <c r="L4" s="10" t="n">
        <v>4</v>
      </c>
      <c r="M4" s="10" t="n">
        <v>2</v>
      </c>
      <c r="N4" s="11">
        <f>IF(D4="","",D4-1)</f>
        <v/>
      </c>
      <c r="O4" s="11">
        <f>IF(E4="","",5-E4)</f>
        <v/>
      </c>
      <c r="P4" s="11">
        <f>IF(F4="","",F4-1)</f>
        <v/>
      </c>
      <c r="Q4" s="11">
        <f>IF(G4="","",5-G4)</f>
        <v/>
      </c>
      <c r="R4" s="11">
        <f>IF(H4="","",H4-1)</f>
        <v/>
      </c>
      <c r="S4" s="11">
        <f>IF(I4="","",5-I4)</f>
        <v/>
      </c>
      <c r="T4" s="11">
        <f>IF(J4="","",J4-1)</f>
        <v/>
      </c>
      <c r="U4" s="11">
        <f>IF(K4="","",5-K4)</f>
        <v/>
      </c>
      <c r="V4" s="11">
        <f>IF(L4="","",L4-1)</f>
        <v/>
      </c>
      <c r="W4" s="11">
        <f>IF(M4="","",5-M4)</f>
        <v/>
      </c>
      <c r="X4" s="11">
        <f>IF(COUNT(N4:W4)&lt;10,"",SUM(N4:W4))</f>
        <v/>
      </c>
      <c r="Y4" s="11">
        <f>IF(X4="","",X4*2.5)</f>
        <v/>
      </c>
      <c r="Z4" s="11">
        <f>IF(Y4="","",IF(Y4&gt;=80.3,"Excellent",IF(Y4&gt;=68,"Good",IF(Y4&gt;=51,"Below average","Poor"))))</f>
        <v/>
      </c>
    </row>
    <row r="5">
      <c r="A5" s="1" t="n"/>
      <c r="B5" s="9" t="n"/>
      <c r="C5" s="9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1">
        <f>IF(D5="","",D5-1)</f>
        <v/>
      </c>
      <c r="O5" s="11">
        <f>IF(E5="","",5-E5)</f>
        <v/>
      </c>
      <c r="P5" s="11">
        <f>IF(F5="","",F5-1)</f>
        <v/>
      </c>
      <c r="Q5" s="11">
        <f>IF(G5="","",5-G5)</f>
        <v/>
      </c>
      <c r="R5" s="11">
        <f>IF(H5="","",H5-1)</f>
        <v/>
      </c>
      <c r="S5" s="11">
        <f>IF(I5="","",5-I5)</f>
        <v/>
      </c>
      <c r="T5" s="11">
        <f>IF(J5="","",J5-1)</f>
        <v/>
      </c>
      <c r="U5" s="11">
        <f>IF(K5="","",5-K5)</f>
        <v/>
      </c>
      <c r="V5" s="11">
        <f>IF(L5="","",L5-1)</f>
        <v/>
      </c>
      <c r="W5" s="11">
        <f>IF(M5="","",5-M5)</f>
        <v/>
      </c>
      <c r="X5" s="11">
        <f>IF(COUNT(N5:W5)&lt;10,"",SUM(N5:W5))</f>
        <v/>
      </c>
      <c r="Y5" s="12">
        <f>IF(X5="","",X5*2.5)</f>
        <v/>
      </c>
      <c r="Z5" s="11">
        <f>IF(Y5="","",IF(Y5&gt;=80.3,"Excellent",IF(Y5&gt;=68,"Good",IF(Y5&gt;=51,"Below average","Poor"))))</f>
        <v/>
      </c>
    </row>
    <row r="6">
      <c r="A6" s="1" t="n"/>
      <c r="B6" s="9" t="n"/>
      <c r="C6" s="9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>
        <f>IF(D6="","",D6-1)</f>
        <v/>
      </c>
      <c r="O6" s="11">
        <f>IF(E6="","",5-E6)</f>
        <v/>
      </c>
      <c r="P6" s="11">
        <f>IF(F6="","",F6-1)</f>
        <v/>
      </c>
      <c r="Q6" s="11">
        <f>IF(G6="","",5-G6)</f>
        <v/>
      </c>
      <c r="R6" s="11">
        <f>IF(H6="","",H6-1)</f>
        <v/>
      </c>
      <c r="S6" s="11">
        <f>IF(I6="","",5-I6)</f>
        <v/>
      </c>
      <c r="T6" s="11">
        <f>IF(J6="","",J6-1)</f>
        <v/>
      </c>
      <c r="U6" s="11">
        <f>IF(K6="","",5-K6)</f>
        <v/>
      </c>
      <c r="V6" s="11">
        <f>IF(L6="","",L6-1)</f>
        <v/>
      </c>
      <c r="W6" s="11">
        <f>IF(M6="","",5-M6)</f>
        <v/>
      </c>
      <c r="X6" s="11">
        <f>IF(COUNT(N6:W6)&lt;10,"",SUM(N6:W6))</f>
        <v/>
      </c>
      <c r="Y6" s="12">
        <f>IF(X6="","",X6*2.5)</f>
        <v/>
      </c>
      <c r="Z6" s="11">
        <f>IF(Y6="","",IF(Y6&gt;=80.3,"Excellent",IF(Y6&gt;=68,"Good",IF(Y6&gt;=51,"Below average","Poor"))))</f>
        <v/>
      </c>
    </row>
    <row r="7">
      <c r="A7" s="1" t="n"/>
      <c r="B7" s="9" t="n"/>
      <c r="C7" s="9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1">
        <f>IF(D7="","",D7-1)</f>
        <v/>
      </c>
      <c r="O7" s="11">
        <f>IF(E7="","",5-E7)</f>
        <v/>
      </c>
      <c r="P7" s="11">
        <f>IF(F7="","",F7-1)</f>
        <v/>
      </c>
      <c r="Q7" s="11">
        <f>IF(G7="","",5-G7)</f>
        <v/>
      </c>
      <c r="R7" s="11">
        <f>IF(H7="","",H7-1)</f>
        <v/>
      </c>
      <c r="S7" s="11">
        <f>IF(I7="","",5-I7)</f>
        <v/>
      </c>
      <c r="T7" s="11">
        <f>IF(J7="","",J7-1)</f>
        <v/>
      </c>
      <c r="U7" s="11">
        <f>IF(K7="","",5-K7)</f>
        <v/>
      </c>
      <c r="V7" s="11">
        <f>IF(L7="","",L7-1)</f>
        <v/>
      </c>
      <c r="W7" s="11">
        <f>IF(M7="","",5-M7)</f>
        <v/>
      </c>
      <c r="X7" s="11">
        <f>IF(COUNT(N7:W7)&lt;10,"",SUM(N7:W7))</f>
        <v/>
      </c>
      <c r="Y7" s="12">
        <f>IF(X7="","",X7*2.5)</f>
        <v/>
      </c>
      <c r="Z7" s="11">
        <f>IF(Y7="","",IF(Y7&gt;=80.3,"Excellent",IF(Y7&gt;=68,"Good",IF(Y7&gt;=51,"Below average","Poor"))))</f>
        <v/>
      </c>
    </row>
    <row r="8">
      <c r="A8" s="1" t="n"/>
      <c r="B8" s="9" t="n"/>
      <c r="C8" s="9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1">
        <f>IF(D8="","",D8-1)</f>
        <v/>
      </c>
      <c r="O8" s="11">
        <f>IF(E8="","",5-E8)</f>
        <v/>
      </c>
      <c r="P8" s="11">
        <f>IF(F8="","",F8-1)</f>
        <v/>
      </c>
      <c r="Q8" s="11">
        <f>IF(G8="","",5-G8)</f>
        <v/>
      </c>
      <c r="R8" s="11">
        <f>IF(H8="","",H8-1)</f>
        <v/>
      </c>
      <c r="S8" s="11">
        <f>IF(I8="","",5-I8)</f>
        <v/>
      </c>
      <c r="T8" s="11">
        <f>IF(J8="","",J8-1)</f>
        <v/>
      </c>
      <c r="U8" s="11">
        <f>IF(K8="","",5-K8)</f>
        <v/>
      </c>
      <c r="V8" s="11">
        <f>IF(L8="","",L8-1)</f>
        <v/>
      </c>
      <c r="W8" s="11">
        <f>IF(M8="","",5-M8)</f>
        <v/>
      </c>
      <c r="X8" s="11">
        <f>IF(COUNT(N8:W8)&lt;10,"",SUM(N8:W8))</f>
        <v/>
      </c>
      <c r="Y8" s="12">
        <f>IF(X8="","",X8*2.5)</f>
        <v/>
      </c>
      <c r="Z8" s="11">
        <f>IF(Y8="","",IF(Y8&gt;=80.3,"Excellent",IF(Y8&gt;=68,"Good",IF(Y8&gt;=51,"Below average","Poor"))))</f>
        <v/>
      </c>
    </row>
    <row r="9">
      <c r="A9" s="1" t="n"/>
      <c r="B9" s="9" t="n"/>
      <c r="C9" s="9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>
        <f>IF(D9="","",D9-1)</f>
        <v/>
      </c>
      <c r="O9" s="11">
        <f>IF(E9="","",5-E9)</f>
        <v/>
      </c>
      <c r="P9" s="11">
        <f>IF(F9="","",F9-1)</f>
        <v/>
      </c>
      <c r="Q9" s="11">
        <f>IF(G9="","",5-G9)</f>
        <v/>
      </c>
      <c r="R9" s="11">
        <f>IF(H9="","",H9-1)</f>
        <v/>
      </c>
      <c r="S9" s="11">
        <f>IF(I9="","",5-I9)</f>
        <v/>
      </c>
      <c r="T9" s="11">
        <f>IF(J9="","",J9-1)</f>
        <v/>
      </c>
      <c r="U9" s="11">
        <f>IF(K9="","",5-K9)</f>
        <v/>
      </c>
      <c r="V9" s="11">
        <f>IF(L9="","",L9-1)</f>
        <v/>
      </c>
      <c r="W9" s="11">
        <f>IF(M9="","",5-M9)</f>
        <v/>
      </c>
      <c r="X9" s="11">
        <f>IF(COUNT(N9:W9)&lt;10,"",SUM(N9:W9))</f>
        <v/>
      </c>
      <c r="Y9" s="12">
        <f>IF(X9="","",X9*2.5)</f>
        <v/>
      </c>
      <c r="Z9" s="11">
        <f>IF(Y9="","",IF(Y9&gt;=80.3,"Excellent",IF(Y9&gt;=68,"Good",IF(Y9&gt;=51,"Below average","Poor"))))</f>
        <v/>
      </c>
    </row>
    <row r="10">
      <c r="A10" s="1" t="n"/>
      <c r="B10" s="9" t="n"/>
      <c r="C10" s="9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1">
        <f>IF(D10="","",D10-1)</f>
        <v/>
      </c>
      <c r="O10" s="11">
        <f>IF(E10="","",5-E10)</f>
        <v/>
      </c>
      <c r="P10" s="11">
        <f>IF(F10="","",F10-1)</f>
        <v/>
      </c>
      <c r="Q10" s="11">
        <f>IF(G10="","",5-G10)</f>
        <v/>
      </c>
      <c r="R10" s="11">
        <f>IF(H10="","",H10-1)</f>
        <v/>
      </c>
      <c r="S10" s="11">
        <f>IF(I10="","",5-I10)</f>
        <v/>
      </c>
      <c r="T10" s="11">
        <f>IF(J10="","",J10-1)</f>
        <v/>
      </c>
      <c r="U10" s="11">
        <f>IF(K10="","",5-K10)</f>
        <v/>
      </c>
      <c r="V10" s="11">
        <f>IF(L10="","",L10-1)</f>
        <v/>
      </c>
      <c r="W10" s="11">
        <f>IF(M10="","",5-M10)</f>
        <v/>
      </c>
      <c r="X10" s="11">
        <f>IF(COUNT(N10:W10)&lt;10,"",SUM(N10:W10))</f>
        <v/>
      </c>
      <c r="Y10" s="12">
        <f>IF(X10="","",X10*2.5)</f>
        <v/>
      </c>
      <c r="Z10" s="11">
        <f>IF(Y10="","",IF(Y10&gt;=80.3,"Excellent",IF(Y10&gt;=68,"Good",IF(Y10&gt;=51,"Below average","Poor"))))</f>
        <v/>
      </c>
    </row>
    <row r="11">
      <c r="A11" s="1" t="n"/>
      <c r="B11" s="9" t="n"/>
      <c r="C11" s="9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>
        <f>IF(D11="","",D11-1)</f>
        <v/>
      </c>
      <c r="O11" s="11">
        <f>IF(E11="","",5-E11)</f>
        <v/>
      </c>
      <c r="P11" s="11">
        <f>IF(F11="","",F11-1)</f>
        <v/>
      </c>
      <c r="Q11" s="11">
        <f>IF(G11="","",5-G11)</f>
        <v/>
      </c>
      <c r="R11" s="11">
        <f>IF(H11="","",H11-1)</f>
        <v/>
      </c>
      <c r="S11" s="11">
        <f>IF(I11="","",5-I11)</f>
        <v/>
      </c>
      <c r="T11" s="11">
        <f>IF(J11="","",J11-1)</f>
        <v/>
      </c>
      <c r="U11" s="11">
        <f>IF(K11="","",5-K11)</f>
        <v/>
      </c>
      <c r="V11" s="11">
        <f>IF(L11="","",L11-1)</f>
        <v/>
      </c>
      <c r="W11" s="11">
        <f>IF(M11="","",5-M11)</f>
        <v/>
      </c>
      <c r="X11" s="11">
        <f>IF(COUNT(N11:W11)&lt;10,"",SUM(N11:W11))</f>
        <v/>
      </c>
      <c r="Y11" s="12">
        <f>IF(X11="","",X11*2.5)</f>
        <v/>
      </c>
      <c r="Z11" s="11">
        <f>IF(Y11="","",IF(Y11&gt;=80.3,"Excellent",IF(Y11&gt;=68,"Good",IF(Y11&gt;=51,"Below average","Poor"))))</f>
        <v/>
      </c>
    </row>
    <row r="12">
      <c r="A12" s="1" t="n"/>
      <c r="B12" s="9" t="n"/>
      <c r="C12" s="9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>
        <f>IF(D12="","",D12-1)</f>
        <v/>
      </c>
      <c r="O12" s="11">
        <f>IF(E12="","",5-E12)</f>
        <v/>
      </c>
      <c r="P12" s="11">
        <f>IF(F12="","",F12-1)</f>
        <v/>
      </c>
      <c r="Q12" s="11">
        <f>IF(G12="","",5-G12)</f>
        <v/>
      </c>
      <c r="R12" s="11">
        <f>IF(H12="","",H12-1)</f>
        <v/>
      </c>
      <c r="S12" s="11">
        <f>IF(I12="","",5-I12)</f>
        <v/>
      </c>
      <c r="T12" s="11">
        <f>IF(J12="","",J12-1)</f>
        <v/>
      </c>
      <c r="U12" s="11">
        <f>IF(K12="","",5-K12)</f>
        <v/>
      </c>
      <c r="V12" s="11">
        <f>IF(L12="","",L12-1)</f>
        <v/>
      </c>
      <c r="W12" s="11">
        <f>IF(M12="","",5-M12)</f>
        <v/>
      </c>
      <c r="X12" s="11">
        <f>IF(COUNT(N12:W12)&lt;10,"",SUM(N12:W12))</f>
        <v/>
      </c>
      <c r="Y12" s="12">
        <f>IF(X12="","",X12*2.5)</f>
        <v/>
      </c>
      <c r="Z12" s="11">
        <f>IF(Y12="","",IF(Y12&gt;=80.3,"Excellent",IF(Y12&gt;=68,"Good",IF(Y12&gt;=51,"Below average","Poor"))))</f>
        <v/>
      </c>
    </row>
    <row r="13">
      <c r="A13" s="1" t="n"/>
      <c r="B13" s="9" t="n"/>
      <c r="C13" s="9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>
        <f>IF(D13="","",D13-1)</f>
        <v/>
      </c>
      <c r="O13" s="11">
        <f>IF(E13="","",5-E13)</f>
        <v/>
      </c>
      <c r="P13" s="11">
        <f>IF(F13="","",F13-1)</f>
        <v/>
      </c>
      <c r="Q13" s="11">
        <f>IF(G13="","",5-G13)</f>
        <v/>
      </c>
      <c r="R13" s="11">
        <f>IF(H13="","",H13-1)</f>
        <v/>
      </c>
      <c r="S13" s="11">
        <f>IF(I13="","",5-I13)</f>
        <v/>
      </c>
      <c r="T13" s="11">
        <f>IF(J13="","",J13-1)</f>
        <v/>
      </c>
      <c r="U13" s="11">
        <f>IF(K13="","",5-K13)</f>
        <v/>
      </c>
      <c r="V13" s="11">
        <f>IF(L13="","",L13-1)</f>
        <v/>
      </c>
      <c r="W13" s="11">
        <f>IF(M13="","",5-M13)</f>
        <v/>
      </c>
      <c r="X13" s="11">
        <f>IF(COUNT(N13:W13)&lt;10,"",SUM(N13:W13))</f>
        <v/>
      </c>
      <c r="Y13" s="12">
        <f>IF(X13="","",X13*2.5)</f>
        <v/>
      </c>
      <c r="Z13" s="11">
        <f>IF(Y13="","",IF(Y13&gt;=80.3,"Excellent",IF(Y13&gt;=68,"Good",IF(Y13&gt;=51,"Below average","Poor"))))</f>
        <v/>
      </c>
    </row>
    <row r="14">
      <c r="A14" s="1" t="n"/>
      <c r="B14" s="9" t="n"/>
      <c r="C14" s="9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>
        <f>IF(D14="","",D14-1)</f>
        <v/>
      </c>
      <c r="O14" s="11">
        <f>IF(E14="","",5-E14)</f>
        <v/>
      </c>
      <c r="P14" s="11">
        <f>IF(F14="","",F14-1)</f>
        <v/>
      </c>
      <c r="Q14" s="11">
        <f>IF(G14="","",5-G14)</f>
        <v/>
      </c>
      <c r="R14" s="11">
        <f>IF(H14="","",H14-1)</f>
        <v/>
      </c>
      <c r="S14" s="11">
        <f>IF(I14="","",5-I14)</f>
        <v/>
      </c>
      <c r="T14" s="11">
        <f>IF(J14="","",J14-1)</f>
        <v/>
      </c>
      <c r="U14" s="11">
        <f>IF(K14="","",5-K14)</f>
        <v/>
      </c>
      <c r="V14" s="11">
        <f>IF(L14="","",L14-1)</f>
        <v/>
      </c>
      <c r="W14" s="11">
        <f>IF(M14="","",5-M14)</f>
        <v/>
      </c>
      <c r="X14" s="11">
        <f>IF(COUNT(N14:W14)&lt;10,"",SUM(N14:W14))</f>
        <v/>
      </c>
      <c r="Y14" s="12">
        <f>IF(X14="","",X14*2.5)</f>
        <v/>
      </c>
      <c r="Z14" s="11">
        <f>IF(Y14="","",IF(Y14&gt;=80.3,"Excellent",IF(Y14&gt;=68,"Good",IF(Y14&gt;=51,"Below average","Poor"))))</f>
        <v/>
      </c>
    </row>
    <row r="15">
      <c r="A15" s="1" t="n"/>
      <c r="B15" s="9" t="n"/>
      <c r="C15" s="9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1">
        <f>IF(D15="","",D15-1)</f>
        <v/>
      </c>
      <c r="O15" s="11">
        <f>IF(E15="","",5-E15)</f>
        <v/>
      </c>
      <c r="P15" s="11">
        <f>IF(F15="","",F15-1)</f>
        <v/>
      </c>
      <c r="Q15" s="11">
        <f>IF(G15="","",5-G15)</f>
        <v/>
      </c>
      <c r="R15" s="11">
        <f>IF(H15="","",H15-1)</f>
        <v/>
      </c>
      <c r="S15" s="11">
        <f>IF(I15="","",5-I15)</f>
        <v/>
      </c>
      <c r="T15" s="11">
        <f>IF(J15="","",J15-1)</f>
        <v/>
      </c>
      <c r="U15" s="11">
        <f>IF(K15="","",5-K15)</f>
        <v/>
      </c>
      <c r="V15" s="11">
        <f>IF(L15="","",L15-1)</f>
        <v/>
      </c>
      <c r="W15" s="11">
        <f>IF(M15="","",5-M15)</f>
        <v/>
      </c>
      <c r="X15" s="11">
        <f>IF(COUNT(N15:W15)&lt;10,"",SUM(N15:W15))</f>
        <v/>
      </c>
      <c r="Y15" s="12">
        <f>IF(X15="","",X15*2.5)</f>
        <v/>
      </c>
      <c r="Z15" s="11">
        <f>IF(Y15="","",IF(Y15&gt;=80.3,"Excellent",IF(Y15&gt;=68,"Good",IF(Y15&gt;=51,"Below average","Poor"))))</f>
        <v/>
      </c>
    </row>
    <row r="16">
      <c r="A16" s="1" t="n"/>
      <c r="B16" s="9" t="n"/>
      <c r="C16" s="9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1">
        <f>IF(D16="","",D16-1)</f>
        <v/>
      </c>
      <c r="O16" s="11">
        <f>IF(E16="","",5-E16)</f>
        <v/>
      </c>
      <c r="P16" s="11">
        <f>IF(F16="","",F16-1)</f>
        <v/>
      </c>
      <c r="Q16" s="11">
        <f>IF(G16="","",5-G16)</f>
        <v/>
      </c>
      <c r="R16" s="11">
        <f>IF(H16="","",H16-1)</f>
        <v/>
      </c>
      <c r="S16" s="11">
        <f>IF(I16="","",5-I16)</f>
        <v/>
      </c>
      <c r="T16" s="11">
        <f>IF(J16="","",J16-1)</f>
        <v/>
      </c>
      <c r="U16" s="11">
        <f>IF(K16="","",5-K16)</f>
        <v/>
      </c>
      <c r="V16" s="11">
        <f>IF(L16="","",L16-1)</f>
        <v/>
      </c>
      <c r="W16" s="11">
        <f>IF(M16="","",5-M16)</f>
        <v/>
      </c>
      <c r="X16" s="11">
        <f>IF(COUNT(N16:W16)&lt;10,"",SUM(N16:W16))</f>
        <v/>
      </c>
      <c r="Y16" s="12">
        <f>IF(X16="","",X16*2.5)</f>
        <v/>
      </c>
      <c r="Z16" s="11">
        <f>IF(Y16="","",IF(Y16&gt;=80.3,"Excellent",IF(Y16&gt;=68,"Good",IF(Y16&gt;=51,"Below average","Poor"))))</f>
        <v/>
      </c>
    </row>
    <row r="17">
      <c r="A17" s="1" t="n"/>
      <c r="B17" s="9" t="n"/>
      <c r="C17" s="9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1">
        <f>IF(D17="","",D17-1)</f>
        <v/>
      </c>
      <c r="O17" s="11">
        <f>IF(E17="","",5-E17)</f>
        <v/>
      </c>
      <c r="P17" s="11">
        <f>IF(F17="","",F17-1)</f>
        <v/>
      </c>
      <c r="Q17" s="11">
        <f>IF(G17="","",5-G17)</f>
        <v/>
      </c>
      <c r="R17" s="11">
        <f>IF(H17="","",H17-1)</f>
        <v/>
      </c>
      <c r="S17" s="11">
        <f>IF(I17="","",5-I17)</f>
        <v/>
      </c>
      <c r="T17" s="11">
        <f>IF(J17="","",J17-1)</f>
        <v/>
      </c>
      <c r="U17" s="11">
        <f>IF(K17="","",5-K17)</f>
        <v/>
      </c>
      <c r="V17" s="11">
        <f>IF(L17="","",L17-1)</f>
        <v/>
      </c>
      <c r="W17" s="11">
        <f>IF(M17="","",5-M17)</f>
        <v/>
      </c>
      <c r="X17" s="11">
        <f>IF(COUNT(N17:W17)&lt;10,"",SUM(N17:W17))</f>
        <v/>
      </c>
      <c r="Y17" s="12">
        <f>IF(X17="","",X17*2.5)</f>
        <v/>
      </c>
      <c r="Z17" s="11">
        <f>IF(Y17="","",IF(Y17&gt;=80.3,"Excellent",IF(Y17&gt;=68,"Good",IF(Y17&gt;=51,"Below average","Poor"))))</f>
        <v/>
      </c>
    </row>
    <row r="18">
      <c r="A18" s="1" t="n"/>
      <c r="B18" s="9" t="n"/>
      <c r="C18" s="9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1">
        <f>IF(D18="","",D18-1)</f>
        <v/>
      </c>
      <c r="O18" s="11">
        <f>IF(E18="","",5-E18)</f>
        <v/>
      </c>
      <c r="P18" s="11">
        <f>IF(F18="","",F18-1)</f>
        <v/>
      </c>
      <c r="Q18" s="11">
        <f>IF(G18="","",5-G18)</f>
        <v/>
      </c>
      <c r="R18" s="11">
        <f>IF(H18="","",H18-1)</f>
        <v/>
      </c>
      <c r="S18" s="11">
        <f>IF(I18="","",5-I18)</f>
        <v/>
      </c>
      <c r="T18" s="11">
        <f>IF(J18="","",J18-1)</f>
        <v/>
      </c>
      <c r="U18" s="11">
        <f>IF(K18="","",5-K18)</f>
        <v/>
      </c>
      <c r="V18" s="11">
        <f>IF(L18="","",L18-1)</f>
        <v/>
      </c>
      <c r="W18" s="11">
        <f>IF(M18="","",5-M18)</f>
        <v/>
      </c>
      <c r="X18" s="11">
        <f>IF(COUNT(N18:W18)&lt;10,"",SUM(N18:W18))</f>
        <v/>
      </c>
      <c r="Y18" s="12">
        <f>IF(X18="","",X18*2.5)</f>
        <v/>
      </c>
      <c r="Z18" s="11">
        <f>IF(Y18="","",IF(Y18&gt;=80.3,"Excellent",IF(Y18&gt;=68,"Good",IF(Y18&gt;=51,"Below average","Poor"))))</f>
        <v/>
      </c>
    </row>
    <row r="19">
      <c r="A19" s="1" t="n"/>
      <c r="B19" s="9" t="n"/>
      <c r="C19" s="9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1">
        <f>IF(D19="","",D19-1)</f>
        <v/>
      </c>
      <c r="O19" s="11">
        <f>IF(E19="","",5-E19)</f>
        <v/>
      </c>
      <c r="P19" s="11">
        <f>IF(F19="","",F19-1)</f>
        <v/>
      </c>
      <c r="Q19" s="11">
        <f>IF(G19="","",5-G19)</f>
        <v/>
      </c>
      <c r="R19" s="11">
        <f>IF(H19="","",H19-1)</f>
        <v/>
      </c>
      <c r="S19" s="11">
        <f>IF(I19="","",5-I19)</f>
        <v/>
      </c>
      <c r="T19" s="11">
        <f>IF(J19="","",J19-1)</f>
        <v/>
      </c>
      <c r="U19" s="11">
        <f>IF(K19="","",5-K19)</f>
        <v/>
      </c>
      <c r="V19" s="11">
        <f>IF(L19="","",L19-1)</f>
        <v/>
      </c>
      <c r="W19" s="11">
        <f>IF(M19="","",5-M19)</f>
        <v/>
      </c>
      <c r="X19" s="11">
        <f>IF(COUNT(N19:W19)&lt;10,"",SUM(N19:W19))</f>
        <v/>
      </c>
      <c r="Y19" s="12">
        <f>IF(X19="","",X19*2.5)</f>
        <v/>
      </c>
      <c r="Z19" s="11">
        <f>IF(Y19="","",IF(Y19&gt;=80.3,"Excellent",IF(Y19&gt;=68,"Good",IF(Y19&gt;=51,"Below average","Poor"))))</f>
        <v/>
      </c>
    </row>
    <row r="20">
      <c r="A20" s="1" t="n"/>
      <c r="B20" s="9" t="n"/>
      <c r="C20" s="9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1">
        <f>IF(D20="","",D20-1)</f>
        <v/>
      </c>
      <c r="O20" s="11">
        <f>IF(E20="","",5-E20)</f>
        <v/>
      </c>
      <c r="P20" s="11">
        <f>IF(F20="","",F20-1)</f>
        <v/>
      </c>
      <c r="Q20" s="11">
        <f>IF(G20="","",5-G20)</f>
        <v/>
      </c>
      <c r="R20" s="11">
        <f>IF(H20="","",H20-1)</f>
        <v/>
      </c>
      <c r="S20" s="11">
        <f>IF(I20="","",5-I20)</f>
        <v/>
      </c>
      <c r="T20" s="11">
        <f>IF(J20="","",J20-1)</f>
        <v/>
      </c>
      <c r="U20" s="11">
        <f>IF(K20="","",5-K20)</f>
        <v/>
      </c>
      <c r="V20" s="11">
        <f>IF(L20="","",L20-1)</f>
        <v/>
      </c>
      <c r="W20" s="11">
        <f>IF(M20="","",5-M20)</f>
        <v/>
      </c>
      <c r="X20" s="11">
        <f>IF(COUNT(N20:W20)&lt;10,"",SUM(N20:W20))</f>
        <v/>
      </c>
      <c r="Y20" s="12">
        <f>IF(X20="","",X20*2.5)</f>
        <v/>
      </c>
      <c r="Z20" s="11">
        <f>IF(Y20="","",IF(Y20&gt;=80.3,"Excellent",IF(Y20&gt;=68,"Good",IF(Y20&gt;=51,"Below average","Poor"))))</f>
        <v/>
      </c>
    </row>
    <row r="21">
      <c r="A21" s="1" t="n"/>
      <c r="B21" s="9" t="n"/>
      <c r="C21" s="9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1">
        <f>IF(D21="","",D21-1)</f>
        <v/>
      </c>
      <c r="O21" s="11">
        <f>IF(E21="","",5-E21)</f>
        <v/>
      </c>
      <c r="P21" s="11">
        <f>IF(F21="","",F21-1)</f>
        <v/>
      </c>
      <c r="Q21" s="11">
        <f>IF(G21="","",5-G21)</f>
        <v/>
      </c>
      <c r="R21" s="11">
        <f>IF(H21="","",H21-1)</f>
        <v/>
      </c>
      <c r="S21" s="11">
        <f>IF(I21="","",5-I21)</f>
        <v/>
      </c>
      <c r="T21" s="11">
        <f>IF(J21="","",J21-1)</f>
        <v/>
      </c>
      <c r="U21" s="11">
        <f>IF(K21="","",5-K21)</f>
        <v/>
      </c>
      <c r="V21" s="11">
        <f>IF(L21="","",L21-1)</f>
        <v/>
      </c>
      <c r="W21" s="11">
        <f>IF(M21="","",5-M21)</f>
        <v/>
      </c>
      <c r="X21" s="11">
        <f>IF(COUNT(N21:W21)&lt;10,"",SUM(N21:W21))</f>
        <v/>
      </c>
      <c r="Y21" s="12">
        <f>IF(X21="","",X21*2.5)</f>
        <v/>
      </c>
      <c r="Z21" s="11">
        <f>IF(Y21="","",IF(Y21&gt;=80.3,"Excellent",IF(Y21&gt;=68,"Good",IF(Y21&gt;=51,"Below average","Poor"))))</f>
        <v/>
      </c>
    </row>
    <row r="22">
      <c r="A22" s="1" t="n"/>
      <c r="B22" s="9" t="n"/>
      <c r="C22" s="9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1">
        <f>IF(D22="","",D22-1)</f>
        <v/>
      </c>
      <c r="O22" s="11">
        <f>IF(E22="","",5-E22)</f>
        <v/>
      </c>
      <c r="P22" s="11">
        <f>IF(F22="","",F22-1)</f>
        <v/>
      </c>
      <c r="Q22" s="11">
        <f>IF(G22="","",5-G22)</f>
        <v/>
      </c>
      <c r="R22" s="11">
        <f>IF(H22="","",H22-1)</f>
        <v/>
      </c>
      <c r="S22" s="11">
        <f>IF(I22="","",5-I22)</f>
        <v/>
      </c>
      <c r="T22" s="11">
        <f>IF(J22="","",J22-1)</f>
        <v/>
      </c>
      <c r="U22" s="11">
        <f>IF(K22="","",5-K22)</f>
        <v/>
      </c>
      <c r="V22" s="11">
        <f>IF(L22="","",L22-1)</f>
        <v/>
      </c>
      <c r="W22" s="11">
        <f>IF(M22="","",5-M22)</f>
        <v/>
      </c>
      <c r="X22" s="11">
        <f>IF(COUNT(N22:W22)&lt;10,"",SUM(N22:W22))</f>
        <v/>
      </c>
      <c r="Y22" s="12">
        <f>IF(X22="","",X22*2.5)</f>
        <v/>
      </c>
      <c r="Z22" s="11">
        <f>IF(Y22="","",IF(Y22&gt;=80.3,"Excellent",IF(Y22&gt;=68,"Good",IF(Y22&gt;=51,"Below average","Poor"))))</f>
        <v/>
      </c>
    </row>
    <row r="23">
      <c r="A23" s="1" t="n"/>
      <c r="B23" s="9" t="n"/>
      <c r="C23" s="9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1">
        <f>IF(D23="","",D23-1)</f>
        <v/>
      </c>
      <c r="O23" s="11">
        <f>IF(E23="","",5-E23)</f>
        <v/>
      </c>
      <c r="P23" s="11">
        <f>IF(F23="","",F23-1)</f>
        <v/>
      </c>
      <c r="Q23" s="11">
        <f>IF(G23="","",5-G23)</f>
        <v/>
      </c>
      <c r="R23" s="11">
        <f>IF(H23="","",H23-1)</f>
        <v/>
      </c>
      <c r="S23" s="11">
        <f>IF(I23="","",5-I23)</f>
        <v/>
      </c>
      <c r="T23" s="11">
        <f>IF(J23="","",J23-1)</f>
        <v/>
      </c>
      <c r="U23" s="11">
        <f>IF(K23="","",5-K23)</f>
        <v/>
      </c>
      <c r="V23" s="11">
        <f>IF(L23="","",L23-1)</f>
        <v/>
      </c>
      <c r="W23" s="11">
        <f>IF(M23="","",5-M23)</f>
        <v/>
      </c>
      <c r="X23" s="11">
        <f>IF(COUNT(N23:W23)&lt;10,"",SUM(N23:W23))</f>
        <v/>
      </c>
      <c r="Y23" s="12">
        <f>IF(X23="","",X23*2.5)</f>
        <v/>
      </c>
      <c r="Z23" s="11">
        <f>IF(Y23="","",IF(Y23&gt;=80.3,"Excellent",IF(Y23&gt;=68,"Good",IF(Y23&gt;=51,"Below average","Poor"))))</f>
        <v/>
      </c>
    </row>
    <row r="24">
      <c r="A24" s="1" t="n"/>
      <c r="B24" s="9" t="n"/>
      <c r="C24" s="9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>
        <f>IF(D24="","",D24-1)</f>
        <v/>
      </c>
      <c r="O24" s="11">
        <f>IF(E24="","",5-E24)</f>
        <v/>
      </c>
      <c r="P24" s="11">
        <f>IF(F24="","",F24-1)</f>
        <v/>
      </c>
      <c r="Q24" s="11">
        <f>IF(G24="","",5-G24)</f>
        <v/>
      </c>
      <c r="R24" s="11">
        <f>IF(H24="","",H24-1)</f>
        <v/>
      </c>
      <c r="S24" s="11">
        <f>IF(I24="","",5-I24)</f>
        <v/>
      </c>
      <c r="T24" s="11">
        <f>IF(J24="","",J24-1)</f>
        <v/>
      </c>
      <c r="U24" s="11">
        <f>IF(K24="","",5-K24)</f>
        <v/>
      </c>
      <c r="V24" s="11">
        <f>IF(L24="","",L24-1)</f>
        <v/>
      </c>
      <c r="W24" s="11">
        <f>IF(M24="","",5-M24)</f>
        <v/>
      </c>
      <c r="X24" s="11">
        <f>IF(COUNT(N24:W24)&lt;10,"",SUM(N24:W24))</f>
        <v/>
      </c>
      <c r="Y24" s="12">
        <f>IF(X24="","",X24*2.5)</f>
        <v/>
      </c>
      <c r="Z24" s="11">
        <f>IF(Y24="","",IF(Y24&gt;=80.3,"Excellent",IF(Y24&gt;=68,"Good",IF(Y24&gt;=51,"Below average","Poor"))))</f>
        <v/>
      </c>
    </row>
    <row r="25">
      <c r="A25" s="1" t="n"/>
      <c r="B25" s="9" t="n"/>
      <c r="C25" s="9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>
        <f>IF(D25="","",D25-1)</f>
        <v/>
      </c>
      <c r="O25" s="11">
        <f>IF(E25="","",5-E25)</f>
        <v/>
      </c>
      <c r="P25" s="11">
        <f>IF(F25="","",F25-1)</f>
        <v/>
      </c>
      <c r="Q25" s="11">
        <f>IF(G25="","",5-G25)</f>
        <v/>
      </c>
      <c r="R25" s="11">
        <f>IF(H25="","",H25-1)</f>
        <v/>
      </c>
      <c r="S25" s="11">
        <f>IF(I25="","",5-I25)</f>
        <v/>
      </c>
      <c r="T25" s="11">
        <f>IF(J25="","",J25-1)</f>
        <v/>
      </c>
      <c r="U25" s="11">
        <f>IF(K25="","",5-K25)</f>
        <v/>
      </c>
      <c r="V25" s="11">
        <f>IF(L25="","",L25-1)</f>
        <v/>
      </c>
      <c r="W25" s="11">
        <f>IF(M25="","",5-M25)</f>
        <v/>
      </c>
      <c r="X25" s="11">
        <f>IF(COUNT(N25:W25)&lt;10,"",SUM(N25:W25))</f>
        <v/>
      </c>
      <c r="Y25" s="12">
        <f>IF(X25="","",X25*2.5)</f>
        <v/>
      </c>
      <c r="Z25" s="11">
        <f>IF(Y25="","",IF(Y25&gt;=80.3,"Excellent",IF(Y25&gt;=68,"Good",IF(Y25&gt;=51,"Below average","Poor"))))</f>
        <v/>
      </c>
    </row>
    <row r="26">
      <c r="A26" s="1" t="n"/>
      <c r="B26" s="9" t="n"/>
      <c r="C26" s="9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>
        <f>IF(D26="","",D26-1)</f>
        <v/>
      </c>
      <c r="O26" s="11">
        <f>IF(E26="","",5-E26)</f>
        <v/>
      </c>
      <c r="P26" s="11">
        <f>IF(F26="","",F26-1)</f>
        <v/>
      </c>
      <c r="Q26" s="11">
        <f>IF(G26="","",5-G26)</f>
        <v/>
      </c>
      <c r="R26" s="11">
        <f>IF(H26="","",H26-1)</f>
        <v/>
      </c>
      <c r="S26" s="11">
        <f>IF(I26="","",5-I26)</f>
        <v/>
      </c>
      <c r="T26" s="11">
        <f>IF(J26="","",J26-1)</f>
        <v/>
      </c>
      <c r="U26" s="11">
        <f>IF(K26="","",5-K26)</f>
        <v/>
      </c>
      <c r="V26" s="11">
        <f>IF(L26="","",L26-1)</f>
        <v/>
      </c>
      <c r="W26" s="11">
        <f>IF(M26="","",5-M26)</f>
        <v/>
      </c>
      <c r="X26" s="11">
        <f>IF(COUNT(N26:W26)&lt;10,"",SUM(N26:W26))</f>
        <v/>
      </c>
      <c r="Y26" s="12">
        <f>IF(X26="","",X26*2.5)</f>
        <v/>
      </c>
      <c r="Z26" s="11">
        <f>IF(Y26="","",IF(Y26&gt;=80.3,"Excellent",IF(Y26&gt;=68,"Good",IF(Y26&gt;=51,"Below average","Poor"))))</f>
        <v/>
      </c>
    </row>
    <row r="27">
      <c r="A27" s="1" t="n"/>
      <c r="B27" s="9" t="n"/>
      <c r="C27" s="9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>
        <f>IF(D27="","",D27-1)</f>
        <v/>
      </c>
      <c r="O27" s="11">
        <f>IF(E27="","",5-E27)</f>
        <v/>
      </c>
      <c r="P27" s="11">
        <f>IF(F27="","",F27-1)</f>
        <v/>
      </c>
      <c r="Q27" s="11">
        <f>IF(G27="","",5-G27)</f>
        <v/>
      </c>
      <c r="R27" s="11">
        <f>IF(H27="","",H27-1)</f>
        <v/>
      </c>
      <c r="S27" s="11">
        <f>IF(I27="","",5-I27)</f>
        <v/>
      </c>
      <c r="T27" s="11">
        <f>IF(J27="","",J27-1)</f>
        <v/>
      </c>
      <c r="U27" s="11">
        <f>IF(K27="","",5-K27)</f>
        <v/>
      </c>
      <c r="V27" s="11">
        <f>IF(L27="","",L27-1)</f>
        <v/>
      </c>
      <c r="W27" s="11">
        <f>IF(M27="","",5-M27)</f>
        <v/>
      </c>
      <c r="X27" s="11">
        <f>IF(COUNT(N27:W27)&lt;10,"",SUM(N27:W27))</f>
        <v/>
      </c>
      <c r="Y27" s="12">
        <f>IF(X27="","",X27*2.5)</f>
        <v/>
      </c>
      <c r="Z27" s="11">
        <f>IF(Y27="","",IF(Y27&gt;=80.3,"Excellent",IF(Y27&gt;=68,"Good",IF(Y27&gt;=51,"Below average","Poor"))))</f>
        <v/>
      </c>
    </row>
    <row r="28">
      <c r="A28" s="1" t="n"/>
      <c r="B28" s="9" t="n"/>
      <c r="C28" s="9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1">
        <f>IF(D28="","",D28-1)</f>
        <v/>
      </c>
      <c r="O28" s="11">
        <f>IF(E28="","",5-E28)</f>
        <v/>
      </c>
      <c r="P28" s="11">
        <f>IF(F28="","",F28-1)</f>
        <v/>
      </c>
      <c r="Q28" s="11">
        <f>IF(G28="","",5-G28)</f>
        <v/>
      </c>
      <c r="R28" s="11">
        <f>IF(H28="","",H28-1)</f>
        <v/>
      </c>
      <c r="S28" s="11">
        <f>IF(I28="","",5-I28)</f>
        <v/>
      </c>
      <c r="T28" s="11">
        <f>IF(J28="","",J28-1)</f>
        <v/>
      </c>
      <c r="U28" s="11">
        <f>IF(K28="","",5-K28)</f>
        <v/>
      </c>
      <c r="V28" s="11">
        <f>IF(L28="","",L28-1)</f>
        <v/>
      </c>
      <c r="W28" s="11">
        <f>IF(M28="","",5-M28)</f>
        <v/>
      </c>
      <c r="X28" s="11">
        <f>IF(COUNT(N28:W28)&lt;10,"",SUM(N28:W28))</f>
        <v/>
      </c>
      <c r="Y28" s="12">
        <f>IF(X28="","",X28*2.5)</f>
        <v/>
      </c>
      <c r="Z28" s="11">
        <f>IF(Y28="","",IF(Y28&gt;=80.3,"Excellent",IF(Y28&gt;=68,"Good",IF(Y28&gt;=51,"Below average","Poor"))))</f>
        <v/>
      </c>
    </row>
    <row r="29">
      <c r="A29" s="1" t="n"/>
      <c r="B29" s="9" t="n"/>
      <c r="C29" s="9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1">
        <f>IF(D29="","",D29-1)</f>
        <v/>
      </c>
      <c r="O29" s="11">
        <f>IF(E29="","",5-E29)</f>
        <v/>
      </c>
      <c r="P29" s="11">
        <f>IF(F29="","",F29-1)</f>
        <v/>
      </c>
      <c r="Q29" s="11">
        <f>IF(G29="","",5-G29)</f>
        <v/>
      </c>
      <c r="R29" s="11">
        <f>IF(H29="","",H29-1)</f>
        <v/>
      </c>
      <c r="S29" s="11">
        <f>IF(I29="","",5-I29)</f>
        <v/>
      </c>
      <c r="T29" s="11">
        <f>IF(J29="","",J29-1)</f>
        <v/>
      </c>
      <c r="U29" s="11">
        <f>IF(K29="","",5-K29)</f>
        <v/>
      </c>
      <c r="V29" s="11">
        <f>IF(L29="","",L29-1)</f>
        <v/>
      </c>
      <c r="W29" s="11">
        <f>IF(M29="","",5-M29)</f>
        <v/>
      </c>
      <c r="X29" s="11">
        <f>IF(COUNT(N29:W29)&lt;10,"",SUM(N29:W29))</f>
        <v/>
      </c>
      <c r="Y29" s="12">
        <f>IF(X29="","",X29*2.5)</f>
        <v/>
      </c>
      <c r="Z29" s="11">
        <f>IF(Y29="","",IF(Y29&gt;=80.3,"Excellent",IF(Y29&gt;=68,"Good",IF(Y29&gt;=51,"Below average","Poor"))))</f>
        <v/>
      </c>
    </row>
    <row r="30">
      <c r="A30" s="1" t="n"/>
      <c r="B30" s="9" t="n"/>
      <c r="C30" s="9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1">
        <f>IF(D30="","",D30-1)</f>
        <v/>
      </c>
      <c r="O30" s="11">
        <f>IF(E30="","",5-E30)</f>
        <v/>
      </c>
      <c r="P30" s="11">
        <f>IF(F30="","",F30-1)</f>
        <v/>
      </c>
      <c r="Q30" s="11">
        <f>IF(G30="","",5-G30)</f>
        <v/>
      </c>
      <c r="R30" s="11">
        <f>IF(H30="","",H30-1)</f>
        <v/>
      </c>
      <c r="S30" s="11">
        <f>IF(I30="","",5-I30)</f>
        <v/>
      </c>
      <c r="T30" s="11">
        <f>IF(J30="","",J30-1)</f>
        <v/>
      </c>
      <c r="U30" s="11">
        <f>IF(K30="","",5-K30)</f>
        <v/>
      </c>
      <c r="V30" s="11">
        <f>IF(L30="","",L30-1)</f>
        <v/>
      </c>
      <c r="W30" s="11">
        <f>IF(M30="","",5-M30)</f>
        <v/>
      </c>
      <c r="X30" s="11">
        <f>IF(COUNT(N30:W30)&lt;10,"",SUM(N30:W30))</f>
        <v/>
      </c>
      <c r="Y30" s="12">
        <f>IF(X30="","",X30*2.5)</f>
        <v/>
      </c>
      <c r="Z30" s="11">
        <f>IF(Y30="","",IF(Y30&gt;=80.3,"Excellent",IF(Y30&gt;=68,"Good",IF(Y30&gt;=51,"Below average","Poor"))))</f>
        <v/>
      </c>
    </row>
    <row r="31">
      <c r="A31" s="1" t="n"/>
      <c r="B31" s="9" t="n"/>
      <c r="C31" s="9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1">
        <f>IF(D31="","",D31-1)</f>
        <v/>
      </c>
      <c r="O31" s="11">
        <f>IF(E31="","",5-E31)</f>
        <v/>
      </c>
      <c r="P31" s="11">
        <f>IF(F31="","",F31-1)</f>
        <v/>
      </c>
      <c r="Q31" s="11">
        <f>IF(G31="","",5-G31)</f>
        <v/>
      </c>
      <c r="R31" s="11">
        <f>IF(H31="","",H31-1)</f>
        <v/>
      </c>
      <c r="S31" s="11">
        <f>IF(I31="","",5-I31)</f>
        <v/>
      </c>
      <c r="T31" s="11">
        <f>IF(J31="","",J31-1)</f>
        <v/>
      </c>
      <c r="U31" s="11">
        <f>IF(K31="","",5-K31)</f>
        <v/>
      </c>
      <c r="V31" s="11">
        <f>IF(L31="","",L31-1)</f>
        <v/>
      </c>
      <c r="W31" s="11">
        <f>IF(M31="","",5-M31)</f>
        <v/>
      </c>
      <c r="X31" s="11">
        <f>IF(COUNT(N31:W31)&lt;10,"",SUM(N31:W31))</f>
        <v/>
      </c>
      <c r="Y31" s="12">
        <f>IF(X31="","",X31*2.5)</f>
        <v/>
      </c>
      <c r="Z31" s="11">
        <f>IF(Y31="","",IF(Y31&gt;=80.3,"Excellent",IF(Y31&gt;=68,"Good",IF(Y31&gt;=51,"Below average","Poor"))))</f>
        <v/>
      </c>
    </row>
    <row r="32">
      <c r="A32" s="1" t="n"/>
      <c r="B32" s="9" t="n"/>
      <c r="C32" s="9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1">
        <f>IF(D32="","",D32-1)</f>
        <v/>
      </c>
      <c r="O32" s="11">
        <f>IF(E32="","",5-E32)</f>
        <v/>
      </c>
      <c r="P32" s="11">
        <f>IF(F32="","",F32-1)</f>
        <v/>
      </c>
      <c r="Q32" s="11">
        <f>IF(G32="","",5-G32)</f>
        <v/>
      </c>
      <c r="R32" s="11">
        <f>IF(H32="","",H32-1)</f>
        <v/>
      </c>
      <c r="S32" s="11">
        <f>IF(I32="","",5-I32)</f>
        <v/>
      </c>
      <c r="T32" s="11">
        <f>IF(J32="","",J32-1)</f>
        <v/>
      </c>
      <c r="U32" s="11">
        <f>IF(K32="","",5-K32)</f>
        <v/>
      </c>
      <c r="V32" s="11">
        <f>IF(L32="","",L32-1)</f>
        <v/>
      </c>
      <c r="W32" s="11">
        <f>IF(M32="","",5-M32)</f>
        <v/>
      </c>
      <c r="X32" s="11">
        <f>IF(COUNT(N32:W32)&lt;10,"",SUM(N32:W32))</f>
        <v/>
      </c>
      <c r="Y32" s="12">
        <f>IF(X32="","",X32*2.5)</f>
        <v/>
      </c>
      <c r="Z32" s="11">
        <f>IF(Y32="","",IF(Y32&gt;=80.3,"Excellent",IF(Y32&gt;=68,"Good",IF(Y32&gt;=51,"Below average","Poor"))))</f>
        <v/>
      </c>
    </row>
    <row r="33">
      <c r="A33" s="1" t="n"/>
      <c r="B33" s="9" t="n"/>
      <c r="C33" s="9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1">
        <f>IF(D33="","",D33-1)</f>
        <v/>
      </c>
      <c r="O33" s="11">
        <f>IF(E33="","",5-E33)</f>
        <v/>
      </c>
      <c r="P33" s="11">
        <f>IF(F33="","",F33-1)</f>
        <v/>
      </c>
      <c r="Q33" s="11">
        <f>IF(G33="","",5-G33)</f>
        <v/>
      </c>
      <c r="R33" s="11">
        <f>IF(H33="","",H33-1)</f>
        <v/>
      </c>
      <c r="S33" s="11">
        <f>IF(I33="","",5-I33)</f>
        <v/>
      </c>
      <c r="T33" s="11">
        <f>IF(J33="","",J33-1)</f>
        <v/>
      </c>
      <c r="U33" s="11">
        <f>IF(K33="","",5-K33)</f>
        <v/>
      </c>
      <c r="V33" s="11">
        <f>IF(L33="","",L33-1)</f>
        <v/>
      </c>
      <c r="W33" s="11">
        <f>IF(M33="","",5-M33)</f>
        <v/>
      </c>
      <c r="X33" s="11">
        <f>IF(COUNT(N33:W33)&lt;10,"",SUM(N33:W33))</f>
        <v/>
      </c>
      <c r="Y33" s="12">
        <f>IF(X33="","",X33*2.5)</f>
        <v/>
      </c>
      <c r="Z33" s="11">
        <f>IF(Y33="","",IF(Y33&gt;=80.3,"Excellent",IF(Y33&gt;=68,"Good",IF(Y33&gt;=51,"Below average","Poor"))))</f>
        <v/>
      </c>
    </row>
    <row r="34">
      <c r="A34" s="1" t="n"/>
      <c r="B34" s="9" t="n"/>
      <c r="C34" s="9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1">
        <f>IF(D34="","",D34-1)</f>
        <v/>
      </c>
      <c r="O34" s="11">
        <f>IF(E34="","",5-E34)</f>
        <v/>
      </c>
      <c r="P34" s="11">
        <f>IF(F34="","",F34-1)</f>
        <v/>
      </c>
      <c r="Q34" s="11">
        <f>IF(G34="","",5-G34)</f>
        <v/>
      </c>
      <c r="R34" s="11">
        <f>IF(H34="","",H34-1)</f>
        <v/>
      </c>
      <c r="S34" s="11">
        <f>IF(I34="","",5-I34)</f>
        <v/>
      </c>
      <c r="T34" s="11">
        <f>IF(J34="","",J34-1)</f>
        <v/>
      </c>
      <c r="U34" s="11">
        <f>IF(K34="","",5-K34)</f>
        <v/>
      </c>
      <c r="V34" s="11">
        <f>IF(L34="","",L34-1)</f>
        <v/>
      </c>
      <c r="W34" s="11">
        <f>IF(M34="","",5-M34)</f>
        <v/>
      </c>
      <c r="X34" s="11">
        <f>IF(COUNT(N34:W34)&lt;10,"",SUM(N34:W34))</f>
        <v/>
      </c>
      <c r="Y34" s="12">
        <f>IF(X34="","",X34*2.5)</f>
        <v/>
      </c>
      <c r="Z34" s="11">
        <f>IF(Y34="","",IF(Y34&gt;=80.3,"Excellent",IF(Y34&gt;=68,"Good",IF(Y34&gt;=51,"Below average","Poor"))))</f>
        <v/>
      </c>
    </row>
    <row r="35">
      <c r="A35" s="1" t="n"/>
      <c r="B35" s="9" t="n"/>
      <c r="C35" s="9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1">
        <f>IF(D35="","",D35-1)</f>
        <v/>
      </c>
      <c r="O35" s="11">
        <f>IF(E35="","",5-E35)</f>
        <v/>
      </c>
      <c r="P35" s="11">
        <f>IF(F35="","",F35-1)</f>
        <v/>
      </c>
      <c r="Q35" s="11">
        <f>IF(G35="","",5-G35)</f>
        <v/>
      </c>
      <c r="R35" s="11">
        <f>IF(H35="","",H35-1)</f>
        <v/>
      </c>
      <c r="S35" s="11">
        <f>IF(I35="","",5-I35)</f>
        <v/>
      </c>
      <c r="T35" s="11">
        <f>IF(J35="","",J35-1)</f>
        <v/>
      </c>
      <c r="U35" s="11">
        <f>IF(K35="","",5-K35)</f>
        <v/>
      </c>
      <c r="V35" s="11">
        <f>IF(L35="","",L35-1)</f>
        <v/>
      </c>
      <c r="W35" s="11">
        <f>IF(M35="","",5-M35)</f>
        <v/>
      </c>
      <c r="X35" s="11">
        <f>IF(COUNT(N35:W35)&lt;10,"",SUM(N35:W35))</f>
        <v/>
      </c>
      <c r="Y35" s="12">
        <f>IF(X35="","",X35*2.5)</f>
        <v/>
      </c>
      <c r="Z35" s="11">
        <f>IF(Y35="","",IF(Y35&gt;=80.3,"Excellent",IF(Y35&gt;=68,"Good",IF(Y35&gt;=51,"Below average","Poor"))))</f>
        <v/>
      </c>
    </row>
    <row r="36">
      <c r="A36" s="1" t="n"/>
      <c r="B36" s="9" t="n"/>
      <c r="C36" s="9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1">
        <f>IF(D36="","",D36-1)</f>
        <v/>
      </c>
      <c r="O36" s="11">
        <f>IF(E36="","",5-E36)</f>
        <v/>
      </c>
      <c r="P36" s="11">
        <f>IF(F36="","",F36-1)</f>
        <v/>
      </c>
      <c r="Q36" s="11">
        <f>IF(G36="","",5-G36)</f>
        <v/>
      </c>
      <c r="R36" s="11">
        <f>IF(H36="","",H36-1)</f>
        <v/>
      </c>
      <c r="S36" s="11">
        <f>IF(I36="","",5-I36)</f>
        <v/>
      </c>
      <c r="T36" s="11">
        <f>IF(J36="","",J36-1)</f>
        <v/>
      </c>
      <c r="U36" s="11">
        <f>IF(K36="","",5-K36)</f>
        <v/>
      </c>
      <c r="V36" s="11">
        <f>IF(L36="","",L36-1)</f>
        <v/>
      </c>
      <c r="W36" s="11">
        <f>IF(M36="","",5-M36)</f>
        <v/>
      </c>
      <c r="X36" s="11">
        <f>IF(COUNT(N36:W36)&lt;10,"",SUM(N36:W36))</f>
        <v/>
      </c>
      <c r="Y36" s="12">
        <f>IF(X36="","",X36*2.5)</f>
        <v/>
      </c>
      <c r="Z36" s="11">
        <f>IF(Y36="","",IF(Y36&gt;=80.3,"Excellent",IF(Y36&gt;=68,"Good",IF(Y36&gt;=51,"Below average","Poor"))))</f>
        <v/>
      </c>
    </row>
    <row r="37">
      <c r="A37" s="1" t="n"/>
      <c r="B37" s="9" t="n"/>
      <c r="C37" s="9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1">
        <f>IF(D37="","",D37-1)</f>
        <v/>
      </c>
      <c r="O37" s="11">
        <f>IF(E37="","",5-E37)</f>
        <v/>
      </c>
      <c r="P37" s="11">
        <f>IF(F37="","",F37-1)</f>
        <v/>
      </c>
      <c r="Q37" s="11">
        <f>IF(G37="","",5-G37)</f>
        <v/>
      </c>
      <c r="R37" s="11">
        <f>IF(H37="","",H37-1)</f>
        <v/>
      </c>
      <c r="S37" s="11">
        <f>IF(I37="","",5-I37)</f>
        <v/>
      </c>
      <c r="T37" s="11">
        <f>IF(J37="","",J37-1)</f>
        <v/>
      </c>
      <c r="U37" s="11">
        <f>IF(K37="","",5-K37)</f>
        <v/>
      </c>
      <c r="V37" s="11">
        <f>IF(L37="","",L37-1)</f>
        <v/>
      </c>
      <c r="W37" s="11">
        <f>IF(M37="","",5-M37)</f>
        <v/>
      </c>
      <c r="X37" s="11">
        <f>IF(COUNT(N37:W37)&lt;10,"",SUM(N37:W37))</f>
        <v/>
      </c>
      <c r="Y37" s="12">
        <f>IF(X37="","",X37*2.5)</f>
        <v/>
      </c>
      <c r="Z37" s="11">
        <f>IF(Y37="","",IF(Y37&gt;=80.3,"Excellent",IF(Y37&gt;=68,"Good",IF(Y37&gt;=51,"Below average","Poor"))))</f>
        <v/>
      </c>
    </row>
    <row r="38">
      <c r="A38" s="1" t="n"/>
      <c r="B38" s="9" t="n"/>
      <c r="C38" s="9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1">
        <f>IF(D38="","",D38-1)</f>
        <v/>
      </c>
      <c r="O38" s="11">
        <f>IF(E38="","",5-E38)</f>
        <v/>
      </c>
      <c r="P38" s="11">
        <f>IF(F38="","",F38-1)</f>
        <v/>
      </c>
      <c r="Q38" s="11">
        <f>IF(G38="","",5-G38)</f>
        <v/>
      </c>
      <c r="R38" s="11">
        <f>IF(H38="","",H38-1)</f>
        <v/>
      </c>
      <c r="S38" s="11">
        <f>IF(I38="","",5-I38)</f>
        <v/>
      </c>
      <c r="T38" s="11">
        <f>IF(J38="","",J38-1)</f>
        <v/>
      </c>
      <c r="U38" s="11">
        <f>IF(K38="","",5-K38)</f>
        <v/>
      </c>
      <c r="V38" s="11">
        <f>IF(L38="","",L38-1)</f>
        <v/>
      </c>
      <c r="W38" s="11">
        <f>IF(M38="","",5-M38)</f>
        <v/>
      </c>
      <c r="X38" s="11">
        <f>IF(COUNT(N38:W38)&lt;10,"",SUM(N38:W38))</f>
        <v/>
      </c>
      <c r="Y38" s="12">
        <f>IF(X38="","",X38*2.5)</f>
        <v/>
      </c>
      <c r="Z38" s="11">
        <f>IF(Y38="","",IF(Y38&gt;=80.3,"Excellent",IF(Y38&gt;=68,"Good",IF(Y38&gt;=51,"Below average","Poor"))))</f>
        <v/>
      </c>
    </row>
    <row r="39">
      <c r="A39" s="1" t="n"/>
      <c r="B39" s="9" t="n"/>
      <c r="C39" s="9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>
        <f>IF(D39="","",D39-1)</f>
        <v/>
      </c>
      <c r="O39" s="11">
        <f>IF(E39="","",5-E39)</f>
        <v/>
      </c>
      <c r="P39" s="11">
        <f>IF(F39="","",F39-1)</f>
        <v/>
      </c>
      <c r="Q39" s="11">
        <f>IF(G39="","",5-G39)</f>
        <v/>
      </c>
      <c r="R39" s="11">
        <f>IF(H39="","",H39-1)</f>
        <v/>
      </c>
      <c r="S39" s="11">
        <f>IF(I39="","",5-I39)</f>
        <v/>
      </c>
      <c r="T39" s="11">
        <f>IF(J39="","",J39-1)</f>
        <v/>
      </c>
      <c r="U39" s="11">
        <f>IF(K39="","",5-K39)</f>
        <v/>
      </c>
      <c r="V39" s="11">
        <f>IF(L39="","",L39-1)</f>
        <v/>
      </c>
      <c r="W39" s="11">
        <f>IF(M39="","",5-M39)</f>
        <v/>
      </c>
      <c r="X39" s="11">
        <f>IF(COUNT(N39:W39)&lt;10,"",SUM(N39:W39))</f>
        <v/>
      </c>
      <c r="Y39" s="12">
        <f>IF(X39="","",X39*2.5)</f>
        <v/>
      </c>
      <c r="Z39" s="11">
        <f>IF(Y39="","",IF(Y39&gt;=80.3,"Excellent",IF(Y39&gt;=68,"Good",IF(Y39&gt;=51,"Below average","Poor"))))</f>
        <v/>
      </c>
    </row>
    <row r="40">
      <c r="A40" s="1" t="n"/>
      <c r="B40" s="9" t="n"/>
      <c r="C40" s="9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1">
        <f>IF(D40="","",D40-1)</f>
        <v/>
      </c>
      <c r="O40" s="11">
        <f>IF(E40="","",5-E40)</f>
        <v/>
      </c>
      <c r="P40" s="11">
        <f>IF(F40="","",F40-1)</f>
        <v/>
      </c>
      <c r="Q40" s="11">
        <f>IF(G40="","",5-G40)</f>
        <v/>
      </c>
      <c r="R40" s="11">
        <f>IF(H40="","",H40-1)</f>
        <v/>
      </c>
      <c r="S40" s="11">
        <f>IF(I40="","",5-I40)</f>
        <v/>
      </c>
      <c r="T40" s="11">
        <f>IF(J40="","",J40-1)</f>
        <v/>
      </c>
      <c r="U40" s="11">
        <f>IF(K40="","",5-K40)</f>
        <v/>
      </c>
      <c r="V40" s="11">
        <f>IF(L40="","",L40-1)</f>
        <v/>
      </c>
      <c r="W40" s="11">
        <f>IF(M40="","",5-M40)</f>
        <v/>
      </c>
      <c r="X40" s="11">
        <f>IF(COUNT(N40:W40)&lt;10,"",SUM(N40:W40))</f>
        <v/>
      </c>
      <c r="Y40" s="12">
        <f>IF(X40="","",X40*2.5)</f>
        <v/>
      </c>
      <c r="Z40" s="11">
        <f>IF(Y40="","",IF(Y40&gt;=80.3,"Excellent",IF(Y40&gt;=68,"Good",IF(Y40&gt;=51,"Below average","Poor"))))</f>
        <v/>
      </c>
    </row>
    <row r="41">
      <c r="A41" s="1" t="n"/>
      <c r="B41" s="9" t="n"/>
      <c r="C41" s="9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1">
        <f>IF(D41="","",D41-1)</f>
        <v/>
      </c>
      <c r="O41" s="11">
        <f>IF(E41="","",5-E41)</f>
        <v/>
      </c>
      <c r="P41" s="11">
        <f>IF(F41="","",F41-1)</f>
        <v/>
      </c>
      <c r="Q41" s="11">
        <f>IF(G41="","",5-G41)</f>
        <v/>
      </c>
      <c r="R41" s="11">
        <f>IF(H41="","",H41-1)</f>
        <v/>
      </c>
      <c r="S41" s="11">
        <f>IF(I41="","",5-I41)</f>
        <v/>
      </c>
      <c r="T41" s="11">
        <f>IF(J41="","",J41-1)</f>
        <v/>
      </c>
      <c r="U41" s="11">
        <f>IF(K41="","",5-K41)</f>
        <v/>
      </c>
      <c r="V41" s="11">
        <f>IF(L41="","",L41-1)</f>
        <v/>
      </c>
      <c r="W41" s="11">
        <f>IF(M41="","",5-M41)</f>
        <v/>
      </c>
      <c r="X41" s="11">
        <f>IF(COUNT(N41:W41)&lt;10,"",SUM(N41:W41))</f>
        <v/>
      </c>
      <c r="Y41" s="12">
        <f>IF(X41="","",X41*2.5)</f>
        <v/>
      </c>
      <c r="Z41" s="11">
        <f>IF(Y41="","",IF(Y41&gt;=80.3,"Excellent",IF(Y41&gt;=68,"Good",IF(Y41&gt;=51,"Below average","Poor"))))</f>
        <v/>
      </c>
    </row>
    <row r="42">
      <c r="A42" s="1" t="n"/>
      <c r="B42" s="9" t="n"/>
      <c r="C42" s="9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1">
        <f>IF(D42="","",D42-1)</f>
        <v/>
      </c>
      <c r="O42" s="11">
        <f>IF(E42="","",5-E42)</f>
        <v/>
      </c>
      <c r="P42" s="11">
        <f>IF(F42="","",F42-1)</f>
        <v/>
      </c>
      <c r="Q42" s="11">
        <f>IF(G42="","",5-G42)</f>
        <v/>
      </c>
      <c r="R42" s="11">
        <f>IF(H42="","",H42-1)</f>
        <v/>
      </c>
      <c r="S42" s="11">
        <f>IF(I42="","",5-I42)</f>
        <v/>
      </c>
      <c r="T42" s="11">
        <f>IF(J42="","",J42-1)</f>
        <v/>
      </c>
      <c r="U42" s="11">
        <f>IF(K42="","",5-K42)</f>
        <v/>
      </c>
      <c r="V42" s="11">
        <f>IF(L42="","",L42-1)</f>
        <v/>
      </c>
      <c r="W42" s="11">
        <f>IF(M42="","",5-M42)</f>
        <v/>
      </c>
      <c r="X42" s="11">
        <f>IF(COUNT(N42:W42)&lt;10,"",SUM(N42:W42))</f>
        <v/>
      </c>
      <c r="Y42" s="12">
        <f>IF(X42="","",X42*2.5)</f>
        <v/>
      </c>
      <c r="Z42" s="11">
        <f>IF(Y42="","",IF(Y42&gt;=80.3,"Excellent",IF(Y42&gt;=68,"Good",IF(Y42&gt;=51,"Below average","Poor"))))</f>
        <v/>
      </c>
    </row>
    <row r="43">
      <c r="A43" s="1" t="n"/>
      <c r="B43" s="9" t="n"/>
      <c r="C43" s="9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1">
        <f>IF(D43="","",D43-1)</f>
        <v/>
      </c>
      <c r="O43" s="11">
        <f>IF(E43="","",5-E43)</f>
        <v/>
      </c>
      <c r="P43" s="11">
        <f>IF(F43="","",F43-1)</f>
        <v/>
      </c>
      <c r="Q43" s="11">
        <f>IF(G43="","",5-G43)</f>
        <v/>
      </c>
      <c r="R43" s="11">
        <f>IF(H43="","",H43-1)</f>
        <v/>
      </c>
      <c r="S43" s="11">
        <f>IF(I43="","",5-I43)</f>
        <v/>
      </c>
      <c r="T43" s="11">
        <f>IF(J43="","",J43-1)</f>
        <v/>
      </c>
      <c r="U43" s="11">
        <f>IF(K43="","",5-K43)</f>
        <v/>
      </c>
      <c r="V43" s="11">
        <f>IF(L43="","",L43-1)</f>
        <v/>
      </c>
      <c r="W43" s="11">
        <f>IF(M43="","",5-M43)</f>
        <v/>
      </c>
      <c r="X43" s="11">
        <f>IF(COUNT(N43:W43)&lt;10,"",SUM(N43:W43))</f>
        <v/>
      </c>
      <c r="Y43" s="12">
        <f>IF(X43="","",X43*2.5)</f>
        <v/>
      </c>
      <c r="Z43" s="11">
        <f>IF(Y43="","",IF(Y43&gt;=80.3,"Excellent",IF(Y43&gt;=68,"Good",IF(Y43&gt;=51,"Below average","Poor"))))</f>
        <v/>
      </c>
    </row>
    <row r="44">
      <c r="A44" s="1" t="n"/>
      <c r="B44" s="9" t="n"/>
      <c r="C44" s="9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1">
        <f>IF(D44="","",D44-1)</f>
        <v/>
      </c>
      <c r="O44" s="11">
        <f>IF(E44="","",5-E44)</f>
        <v/>
      </c>
      <c r="P44" s="11">
        <f>IF(F44="","",F44-1)</f>
        <v/>
      </c>
      <c r="Q44" s="11">
        <f>IF(G44="","",5-G44)</f>
        <v/>
      </c>
      <c r="R44" s="11">
        <f>IF(H44="","",H44-1)</f>
        <v/>
      </c>
      <c r="S44" s="11">
        <f>IF(I44="","",5-I44)</f>
        <v/>
      </c>
      <c r="T44" s="11">
        <f>IF(J44="","",J44-1)</f>
        <v/>
      </c>
      <c r="U44" s="11">
        <f>IF(K44="","",5-K44)</f>
        <v/>
      </c>
      <c r="V44" s="11">
        <f>IF(L44="","",L44-1)</f>
        <v/>
      </c>
      <c r="W44" s="11">
        <f>IF(M44="","",5-M44)</f>
        <v/>
      </c>
      <c r="X44" s="11">
        <f>IF(COUNT(N44:W44)&lt;10,"",SUM(N44:W44))</f>
        <v/>
      </c>
      <c r="Y44" s="12">
        <f>IF(X44="","",X44*2.5)</f>
        <v/>
      </c>
      <c r="Z44" s="11">
        <f>IF(Y44="","",IF(Y44&gt;=80.3,"Excellent",IF(Y44&gt;=68,"Good",IF(Y44&gt;=51,"Below average","Poor"))))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3" t="inlineStr">
        <is>
          <t>Item variance (for alpha)</t>
        </is>
      </c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4">
        <f>IF(COUNT(N5:N44)&lt;3,"",VAR(N5:N44))</f>
        <v/>
      </c>
      <c r="O46" s="14">
        <f>IF(COUNT(O5:O44)&lt;3,"",VAR(O5:O44))</f>
        <v/>
      </c>
      <c r="P46" s="14">
        <f>IF(COUNT(P5:P44)&lt;3,"",VAR(P5:P44))</f>
        <v/>
      </c>
      <c r="Q46" s="14">
        <f>IF(COUNT(Q5:Q44)&lt;3,"",VAR(Q5:Q44))</f>
        <v/>
      </c>
      <c r="R46" s="14">
        <f>IF(COUNT(R5:R44)&lt;3,"",VAR(R5:R44))</f>
        <v/>
      </c>
      <c r="S46" s="14">
        <f>IF(COUNT(S5:S44)&lt;3,"",VAR(S5:S44))</f>
        <v/>
      </c>
      <c r="T46" s="14">
        <f>IF(COUNT(T5:T44)&lt;3,"",VAR(T5:T44))</f>
        <v/>
      </c>
      <c r="U46" s="14">
        <f>IF(COUNT(U5:U44)&lt;3,"",VAR(U5:U44))</f>
        <v/>
      </c>
      <c r="V46" s="14">
        <f>IF(COUNT(V5:V44)&lt;3,"",VAR(V5:V44))</f>
        <v/>
      </c>
      <c r="W46" s="14">
        <f>IF(COUNT(W5:W44)&lt;3,"",VAR(W5:W44))</f>
        <v/>
      </c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5" t="inlineStr">
        <is>
          <t>SUMMARY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6" t="inlineStr">
        <is>
          <t>Respondents (n)</t>
        </is>
      </c>
      <c r="C49" s="17">
        <f>COUNT(Y5:Y44)</f>
        <v/>
      </c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6" t="inlineStr">
        <is>
          <t>Mean SUS</t>
        </is>
      </c>
      <c r="C50" s="18">
        <f>IF(COUNT(Y5:Y44)=0,"",AVERAGE(Y5:Y44))</f>
        <v/>
      </c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6" t="inlineStr">
        <is>
          <t>Standard deviation</t>
        </is>
      </c>
      <c r="C51" s="18">
        <f>IF(COUNT(Y5:Y44)&lt;2,"",STDEV(Y5:Y44))</f>
        <v/>
      </c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6" t="inlineStr">
        <is>
          <t>Minimum</t>
        </is>
      </c>
      <c r="C52" s="17">
        <f>IF(COUNT(Y5:Y44)=0,"",MIN(Y5:Y44))</f>
        <v/>
      </c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6" t="inlineStr">
        <is>
          <t>Maximum</t>
        </is>
      </c>
      <c r="C53" s="17">
        <f>IF(COUNT(Y5:Y44)=0,"",MAX(Y5:Y44))</f>
        <v/>
      </c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6" t="inlineStr">
        <is>
          <t>Interpretation</t>
        </is>
      </c>
      <c r="C54" s="17">
        <f>IF(C50="","",IF(C50&gt;=80.3,"Excellent",IF(C50&gt;=68,"Good",IF(C50&gt;=51,"Below average","Poor"))))</f>
        <v/>
      </c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6" t="inlineStr">
        <is>
          <t>Cronbach's alpha</t>
        </is>
      </c>
      <c r="C55" s="18">
        <f>IF(COUNT(X5:X44)&lt;3,"",(10/9)*(1-SUM(N46:W46)/VAR(X5:X44)))</f>
        <v/>
      </c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6" t="inlineStr">
        <is>
          <t>Citizens — mean SUS</t>
        </is>
      </c>
      <c r="C56" s="17">
        <f>IF(COUNTIF($C$5:$C$44,"Citizen")=0,"",SUMIF($C$5:$C$44,"Citizen",Y5:Y44)/COUNTIF($C$5:$C$44,"Citizen"))</f>
        <v/>
      </c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6" t="inlineStr">
        <is>
          <t>Staff — mean SUS</t>
        </is>
      </c>
      <c r="C57" s="17">
        <f>IF(COUNTIF($C$5:$C$44,"Staff")=0,"",SUMIF($C$5:$C$44,"Staff",Y5:Y44)/COUNTIF($C$5:$C$44,"Staff"))</f>
        <v/>
      </c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6" customWidth="1" min="3" max="3"/>
    <col width="6" customWidth="1" min="4" max="4"/>
    <col width="16" customWidth="1" min="5" max="5"/>
    <col width="1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3" customWidth="1" min="23" max="23"/>
    <col width="13" customWidth="1" min="24" max="24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</cols>
  <sheetData>
    <row r="1">
      <c r="A1" s="1" t="n"/>
      <c r="B1" s="5" t="inlineStr">
        <is>
          <t>ISO/IEC 25010:2011 — citizens and staff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>
      <c r="A2" s="1" t="n"/>
      <c r="B2" s="6" t="inlineStr">
        <is>
          <t>Enter responses 1-5 in the yellow cells. One respondent per row.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19" t="inlineStr">
        <is>
          <t>Respondent ID</t>
        </is>
      </c>
      <c r="C3" s="20" t="inlineStr">
        <is>
          <t>FS1</t>
        </is>
      </c>
      <c r="D3" s="20" t="inlineStr">
        <is>
          <t>FS2</t>
        </is>
      </c>
      <c r="E3" s="20" t="inlineStr">
        <is>
          <t>FS3</t>
        </is>
      </c>
      <c r="F3" s="20" t="inlineStr">
        <is>
          <t>FS4</t>
        </is>
      </c>
      <c r="G3" s="20" t="inlineStr">
        <is>
          <t>PE1</t>
        </is>
      </c>
      <c r="H3" s="20" t="inlineStr">
        <is>
          <t>PE2</t>
        </is>
      </c>
      <c r="I3" s="20" t="inlineStr">
        <is>
          <t>PE3</t>
        </is>
      </c>
      <c r="J3" s="20" t="inlineStr">
        <is>
          <t>CO1</t>
        </is>
      </c>
      <c r="K3" s="20" t="inlineStr">
        <is>
          <t>CO2</t>
        </is>
      </c>
      <c r="L3" s="20" t="inlineStr">
        <is>
          <t>RE1</t>
        </is>
      </c>
      <c r="M3" s="20" t="inlineStr">
        <is>
          <t>RE2</t>
        </is>
      </c>
      <c r="N3" s="20" t="inlineStr">
        <is>
          <t>RE3</t>
        </is>
      </c>
      <c r="O3" s="20" t="inlineStr">
        <is>
          <t>SE1</t>
        </is>
      </c>
      <c r="P3" s="20" t="inlineStr">
        <is>
          <t>SE2</t>
        </is>
      </c>
      <c r="Q3" s="1" t="n"/>
      <c r="R3" s="7" t="inlineStr">
        <is>
          <t>FS mean</t>
        </is>
      </c>
      <c r="S3" s="7" t="inlineStr">
        <is>
          <t>PE mean</t>
        </is>
      </c>
      <c r="T3" s="7" t="inlineStr">
        <is>
          <t>CO mean</t>
        </is>
      </c>
      <c r="U3" s="7" t="inlineStr">
        <is>
          <t>RE mean</t>
        </is>
      </c>
      <c r="V3" s="7" t="inlineStr">
        <is>
          <t>SE mean</t>
        </is>
      </c>
      <c r="W3" s="7" t="inlineStr">
        <is>
          <t>Grand mean</t>
        </is>
      </c>
      <c r="X3" s="7" t="inlineStr">
        <is>
          <t>Band</t>
        </is>
      </c>
      <c r="Y3" s="21" t="inlineStr"/>
      <c r="Z3" s="7" t="inlineStr">
        <is>
          <t>FS total</t>
        </is>
      </c>
      <c r="AA3" s="7" t="inlineStr">
        <is>
          <t>PE total</t>
        </is>
      </c>
      <c r="AB3" s="7" t="inlineStr">
        <is>
          <t>CO total</t>
        </is>
      </c>
      <c r="AC3" s="7" t="inlineStr">
        <is>
          <t>RE total</t>
        </is>
      </c>
      <c r="AD3" s="7" t="inlineStr">
        <is>
          <t>SE total</t>
        </is>
      </c>
    </row>
    <row r="4">
      <c r="A4" s="1" t="n"/>
      <c r="B4" s="22" t="inlineStr">
        <is>
          <t>SAMPLE (not counted)</t>
        </is>
      </c>
      <c r="C4" s="10" t="n">
        <v>4</v>
      </c>
      <c r="D4" s="10" t="n">
        <v>5</v>
      </c>
      <c r="E4" s="10" t="n">
        <v>4</v>
      </c>
      <c r="F4" s="10" t="n">
        <v>4</v>
      </c>
      <c r="G4" s="10" t="n">
        <v>4</v>
      </c>
      <c r="H4" s="10" t="n">
        <v>3</v>
      </c>
      <c r="I4" s="10" t="n">
        <v>4</v>
      </c>
      <c r="J4" s="10" t="n">
        <v>5</v>
      </c>
      <c r="K4" s="10" t="n">
        <v>4</v>
      </c>
      <c r="L4" s="10" t="n">
        <v>4</v>
      </c>
      <c r="M4" s="10" t="n">
        <v>4</v>
      </c>
      <c r="N4" s="10" t="n">
        <v>3</v>
      </c>
      <c r="O4" s="10" t="n">
        <v>5</v>
      </c>
      <c r="P4" s="10" t="n">
        <v>4</v>
      </c>
      <c r="Q4" s="1" t="n"/>
      <c r="R4" s="23">
        <f>IF(COUNT(C4:F4)&lt;4,"",AVERAGE(C4:F4))</f>
        <v/>
      </c>
      <c r="S4" s="23">
        <f>IF(COUNT(G4:I4)&lt;3,"",AVERAGE(G4:I4))</f>
        <v/>
      </c>
      <c r="T4" s="23">
        <f>IF(COUNT(J4:K4)&lt;2,"",AVERAGE(J4:K4))</f>
        <v/>
      </c>
      <c r="U4" s="23">
        <f>IF(COUNT(L4:N4)&lt;3,"",AVERAGE(L4:N4))</f>
        <v/>
      </c>
      <c r="V4" s="23">
        <f>IF(COUNT(O4:P4)&lt;2,"",AVERAGE(O4:P4))</f>
        <v/>
      </c>
      <c r="W4" s="24">
        <f>IF(COUNT(R4:V4)&lt;5,"",AVERAGE(R4:V4))</f>
        <v/>
      </c>
      <c r="X4" s="25">
        <f>IF(W4="","",IF(W4&gt;=4.21,"Excellent",IF(W4&gt;=3.41,"Very good",IF(W4&gt;=2.61,"Good",IF(W4&gt;=1.81,"Fair","Poor")))))</f>
        <v/>
      </c>
      <c r="Y4" s="1" t="n"/>
      <c r="Z4" s="1" t="n"/>
      <c r="AA4" s="1" t="n"/>
      <c r="AB4" s="1" t="n"/>
      <c r="AC4" s="1" t="n"/>
      <c r="AD4" s="1" t="n"/>
    </row>
    <row r="5">
      <c r="A5" s="1" t="n"/>
      <c r="B5" s="9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" t="n"/>
      <c r="R5" s="23">
        <f>IF(COUNT(C5:F5)&lt;4,"",AVERAGE(C5:F5))</f>
        <v/>
      </c>
      <c r="S5" s="23">
        <f>IF(COUNT(G5:I5)&lt;3,"",AVERAGE(G5:I5))</f>
        <v/>
      </c>
      <c r="T5" s="23">
        <f>IF(COUNT(J5:K5)&lt;2,"",AVERAGE(J5:K5))</f>
        <v/>
      </c>
      <c r="U5" s="23">
        <f>IF(COUNT(L5:N5)&lt;3,"",AVERAGE(L5:N5))</f>
        <v/>
      </c>
      <c r="V5" s="23">
        <f>IF(COUNT(O5:P5)&lt;2,"",AVERAGE(O5:P5))</f>
        <v/>
      </c>
      <c r="W5" s="24">
        <f>IF(COUNT(R5:V5)&lt;5,"",AVERAGE(R5:V5))</f>
        <v/>
      </c>
      <c r="X5" s="25">
        <f>IF(W5="","",IF(W5&gt;=4.21,"Excellent",IF(W5&gt;=3.41,"Very good",IF(W5&gt;=2.61,"Good",IF(W5&gt;=1.81,"Fair","Poor")))))</f>
        <v/>
      </c>
      <c r="Y5" s="1" t="n"/>
      <c r="Z5" s="26">
        <f>IF(COUNT(C5:F5)&lt;4,"",SUM(C5:F5))</f>
        <v/>
      </c>
      <c r="AA5" s="26">
        <f>IF(COUNT(G5:I5)&lt;3,"",SUM(G5:I5))</f>
        <v/>
      </c>
      <c r="AB5" s="26">
        <f>IF(COUNT(J5:K5)&lt;2,"",SUM(J5:K5))</f>
        <v/>
      </c>
      <c r="AC5" s="26">
        <f>IF(COUNT(L5:N5)&lt;3,"",SUM(L5:N5))</f>
        <v/>
      </c>
      <c r="AD5" s="26">
        <f>IF(COUNT(O5:P5)&lt;2,"",SUM(O5:P5))</f>
        <v/>
      </c>
    </row>
    <row r="6">
      <c r="A6" s="1" t="n"/>
      <c r="B6" s="9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" t="n"/>
      <c r="R6" s="23">
        <f>IF(COUNT(C6:F6)&lt;4,"",AVERAGE(C6:F6))</f>
        <v/>
      </c>
      <c r="S6" s="23">
        <f>IF(COUNT(G6:I6)&lt;3,"",AVERAGE(G6:I6))</f>
        <v/>
      </c>
      <c r="T6" s="23">
        <f>IF(COUNT(J6:K6)&lt;2,"",AVERAGE(J6:K6))</f>
        <v/>
      </c>
      <c r="U6" s="23">
        <f>IF(COUNT(L6:N6)&lt;3,"",AVERAGE(L6:N6))</f>
        <v/>
      </c>
      <c r="V6" s="23">
        <f>IF(COUNT(O6:P6)&lt;2,"",AVERAGE(O6:P6))</f>
        <v/>
      </c>
      <c r="W6" s="24">
        <f>IF(COUNT(R6:V6)&lt;5,"",AVERAGE(R6:V6))</f>
        <v/>
      </c>
      <c r="X6" s="25">
        <f>IF(W6="","",IF(W6&gt;=4.21,"Excellent",IF(W6&gt;=3.41,"Very good",IF(W6&gt;=2.61,"Good",IF(W6&gt;=1.81,"Fair","Poor")))))</f>
        <v/>
      </c>
      <c r="Y6" s="1" t="n"/>
      <c r="Z6" s="26">
        <f>IF(COUNT(C6:F6)&lt;4,"",SUM(C6:F6))</f>
        <v/>
      </c>
      <c r="AA6" s="26">
        <f>IF(COUNT(G6:I6)&lt;3,"",SUM(G6:I6))</f>
        <v/>
      </c>
      <c r="AB6" s="26">
        <f>IF(COUNT(J6:K6)&lt;2,"",SUM(J6:K6))</f>
        <v/>
      </c>
      <c r="AC6" s="26">
        <f>IF(COUNT(L6:N6)&lt;3,"",SUM(L6:N6))</f>
        <v/>
      </c>
      <c r="AD6" s="26">
        <f>IF(COUNT(O6:P6)&lt;2,"",SUM(O6:P6))</f>
        <v/>
      </c>
    </row>
    <row r="7">
      <c r="A7" s="1" t="n"/>
      <c r="B7" s="9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" t="n"/>
      <c r="R7" s="23">
        <f>IF(COUNT(C7:F7)&lt;4,"",AVERAGE(C7:F7))</f>
        <v/>
      </c>
      <c r="S7" s="23">
        <f>IF(COUNT(G7:I7)&lt;3,"",AVERAGE(G7:I7))</f>
        <v/>
      </c>
      <c r="T7" s="23">
        <f>IF(COUNT(J7:K7)&lt;2,"",AVERAGE(J7:K7))</f>
        <v/>
      </c>
      <c r="U7" s="23">
        <f>IF(COUNT(L7:N7)&lt;3,"",AVERAGE(L7:N7))</f>
        <v/>
      </c>
      <c r="V7" s="23">
        <f>IF(COUNT(O7:P7)&lt;2,"",AVERAGE(O7:P7))</f>
        <v/>
      </c>
      <c r="W7" s="24">
        <f>IF(COUNT(R7:V7)&lt;5,"",AVERAGE(R7:V7))</f>
        <v/>
      </c>
      <c r="X7" s="25">
        <f>IF(W7="","",IF(W7&gt;=4.21,"Excellent",IF(W7&gt;=3.41,"Very good",IF(W7&gt;=2.61,"Good",IF(W7&gt;=1.81,"Fair","Poor")))))</f>
        <v/>
      </c>
      <c r="Y7" s="1" t="n"/>
      <c r="Z7" s="26">
        <f>IF(COUNT(C7:F7)&lt;4,"",SUM(C7:F7))</f>
        <v/>
      </c>
      <c r="AA7" s="26">
        <f>IF(COUNT(G7:I7)&lt;3,"",SUM(G7:I7))</f>
        <v/>
      </c>
      <c r="AB7" s="26">
        <f>IF(COUNT(J7:K7)&lt;2,"",SUM(J7:K7))</f>
        <v/>
      </c>
      <c r="AC7" s="26">
        <f>IF(COUNT(L7:N7)&lt;3,"",SUM(L7:N7))</f>
        <v/>
      </c>
      <c r="AD7" s="26">
        <f>IF(COUNT(O7:P7)&lt;2,"",SUM(O7:P7))</f>
        <v/>
      </c>
    </row>
    <row r="8">
      <c r="A8" s="1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" t="n"/>
      <c r="R8" s="23">
        <f>IF(COUNT(C8:F8)&lt;4,"",AVERAGE(C8:F8))</f>
        <v/>
      </c>
      <c r="S8" s="23">
        <f>IF(COUNT(G8:I8)&lt;3,"",AVERAGE(G8:I8))</f>
        <v/>
      </c>
      <c r="T8" s="23">
        <f>IF(COUNT(J8:K8)&lt;2,"",AVERAGE(J8:K8))</f>
        <v/>
      </c>
      <c r="U8" s="23">
        <f>IF(COUNT(L8:N8)&lt;3,"",AVERAGE(L8:N8))</f>
        <v/>
      </c>
      <c r="V8" s="23">
        <f>IF(COUNT(O8:P8)&lt;2,"",AVERAGE(O8:P8))</f>
        <v/>
      </c>
      <c r="W8" s="24">
        <f>IF(COUNT(R8:V8)&lt;5,"",AVERAGE(R8:V8))</f>
        <v/>
      </c>
      <c r="X8" s="25">
        <f>IF(W8="","",IF(W8&gt;=4.21,"Excellent",IF(W8&gt;=3.41,"Very good",IF(W8&gt;=2.61,"Good",IF(W8&gt;=1.81,"Fair","Poor")))))</f>
        <v/>
      </c>
      <c r="Y8" s="1" t="n"/>
      <c r="Z8" s="26">
        <f>IF(COUNT(C8:F8)&lt;4,"",SUM(C8:F8))</f>
        <v/>
      </c>
      <c r="AA8" s="26">
        <f>IF(COUNT(G8:I8)&lt;3,"",SUM(G8:I8))</f>
        <v/>
      </c>
      <c r="AB8" s="26">
        <f>IF(COUNT(J8:K8)&lt;2,"",SUM(J8:K8))</f>
        <v/>
      </c>
      <c r="AC8" s="26">
        <f>IF(COUNT(L8:N8)&lt;3,"",SUM(L8:N8))</f>
        <v/>
      </c>
      <c r="AD8" s="26">
        <f>IF(COUNT(O8:P8)&lt;2,"",SUM(O8:P8))</f>
        <v/>
      </c>
    </row>
    <row r="9">
      <c r="A9" s="1" t="n"/>
      <c r="B9" s="9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" t="n"/>
      <c r="R9" s="23">
        <f>IF(COUNT(C9:F9)&lt;4,"",AVERAGE(C9:F9))</f>
        <v/>
      </c>
      <c r="S9" s="23">
        <f>IF(COUNT(G9:I9)&lt;3,"",AVERAGE(G9:I9))</f>
        <v/>
      </c>
      <c r="T9" s="23">
        <f>IF(COUNT(J9:K9)&lt;2,"",AVERAGE(J9:K9))</f>
        <v/>
      </c>
      <c r="U9" s="23">
        <f>IF(COUNT(L9:N9)&lt;3,"",AVERAGE(L9:N9))</f>
        <v/>
      </c>
      <c r="V9" s="23">
        <f>IF(COUNT(O9:P9)&lt;2,"",AVERAGE(O9:P9))</f>
        <v/>
      </c>
      <c r="W9" s="24">
        <f>IF(COUNT(R9:V9)&lt;5,"",AVERAGE(R9:V9))</f>
        <v/>
      </c>
      <c r="X9" s="25">
        <f>IF(W9="","",IF(W9&gt;=4.21,"Excellent",IF(W9&gt;=3.41,"Very good",IF(W9&gt;=2.61,"Good",IF(W9&gt;=1.81,"Fair","Poor")))))</f>
        <v/>
      </c>
      <c r="Y9" s="1" t="n"/>
      <c r="Z9" s="26">
        <f>IF(COUNT(C9:F9)&lt;4,"",SUM(C9:F9))</f>
        <v/>
      </c>
      <c r="AA9" s="26">
        <f>IF(COUNT(G9:I9)&lt;3,"",SUM(G9:I9))</f>
        <v/>
      </c>
      <c r="AB9" s="26">
        <f>IF(COUNT(J9:K9)&lt;2,"",SUM(J9:K9))</f>
        <v/>
      </c>
      <c r="AC9" s="26">
        <f>IF(COUNT(L9:N9)&lt;3,"",SUM(L9:N9))</f>
        <v/>
      </c>
      <c r="AD9" s="26">
        <f>IF(COUNT(O9:P9)&lt;2,"",SUM(O9:P9))</f>
        <v/>
      </c>
    </row>
    <row r="10">
      <c r="A10" s="1" t="n"/>
      <c r="B10" s="9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" t="n"/>
      <c r="R10" s="23">
        <f>IF(COUNT(C10:F10)&lt;4,"",AVERAGE(C10:F10))</f>
        <v/>
      </c>
      <c r="S10" s="23">
        <f>IF(COUNT(G10:I10)&lt;3,"",AVERAGE(G10:I10))</f>
        <v/>
      </c>
      <c r="T10" s="23">
        <f>IF(COUNT(J10:K10)&lt;2,"",AVERAGE(J10:K10))</f>
        <v/>
      </c>
      <c r="U10" s="23">
        <f>IF(COUNT(L10:N10)&lt;3,"",AVERAGE(L10:N10))</f>
        <v/>
      </c>
      <c r="V10" s="23">
        <f>IF(COUNT(O10:P10)&lt;2,"",AVERAGE(O10:P10))</f>
        <v/>
      </c>
      <c r="W10" s="24">
        <f>IF(COUNT(R10:V10)&lt;5,"",AVERAGE(R10:V10))</f>
        <v/>
      </c>
      <c r="X10" s="25">
        <f>IF(W10="","",IF(W10&gt;=4.21,"Excellent",IF(W10&gt;=3.41,"Very good",IF(W10&gt;=2.61,"Good",IF(W10&gt;=1.81,"Fair","Poor")))))</f>
        <v/>
      </c>
      <c r="Y10" s="1" t="n"/>
      <c r="Z10" s="26">
        <f>IF(COUNT(C10:F10)&lt;4,"",SUM(C10:F10))</f>
        <v/>
      </c>
      <c r="AA10" s="26">
        <f>IF(COUNT(G10:I10)&lt;3,"",SUM(G10:I10))</f>
        <v/>
      </c>
      <c r="AB10" s="26">
        <f>IF(COUNT(J10:K10)&lt;2,"",SUM(J10:K10))</f>
        <v/>
      </c>
      <c r="AC10" s="26">
        <f>IF(COUNT(L10:N10)&lt;3,"",SUM(L10:N10))</f>
        <v/>
      </c>
      <c r="AD10" s="26">
        <f>IF(COUNT(O10:P10)&lt;2,"",SUM(O10:P10))</f>
        <v/>
      </c>
    </row>
    <row r="11">
      <c r="A11" s="1" t="n"/>
      <c r="B11" s="9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" t="n"/>
      <c r="R11" s="23">
        <f>IF(COUNT(C11:F11)&lt;4,"",AVERAGE(C11:F11))</f>
        <v/>
      </c>
      <c r="S11" s="23">
        <f>IF(COUNT(G11:I11)&lt;3,"",AVERAGE(G11:I11))</f>
        <v/>
      </c>
      <c r="T11" s="23">
        <f>IF(COUNT(J11:K11)&lt;2,"",AVERAGE(J11:K11))</f>
        <v/>
      </c>
      <c r="U11" s="23">
        <f>IF(COUNT(L11:N11)&lt;3,"",AVERAGE(L11:N11))</f>
        <v/>
      </c>
      <c r="V11" s="23">
        <f>IF(COUNT(O11:P11)&lt;2,"",AVERAGE(O11:P11))</f>
        <v/>
      </c>
      <c r="W11" s="24">
        <f>IF(COUNT(R11:V11)&lt;5,"",AVERAGE(R11:V11))</f>
        <v/>
      </c>
      <c r="X11" s="25">
        <f>IF(W11="","",IF(W11&gt;=4.21,"Excellent",IF(W11&gt;=3.41,"Very good",IF(W11&gt;=2.61,"Good",IF(W11&gt;=1.81,"Fair","Poor")))))</f>
        <v/>
      </c>
      <c r="Y11" s="1" t="n"/>
      <c r="Z11" s="26">
        <f>IF(COUNT(C11:F11)&lt;4,"",SUM(C11:F11))</f>
        <v/>
      </c>
      <c r="AA11" s="26">
        <f>IF(COUNT(G11:I11)&lt;3,"",SUM(G11:I11))</f>
        <v/>
      </c>
      <c r="AB11" s="26">
        <f>IF(COUNT(J11:K11)&lt;2,"",SUM(J11:K11))</f>
        <v/>
      </c>
      <c r="AC11" s="26">
        <f>IF(COUNT(L11:N11)&lt;3,"",SUM(L11:N11))</f>
        <v/>
      </c>
      <c r="AD11" s="26">
        <f>IF(COUNT(O11:P11)&lt;2,"",SUM(O11:P11))</f>
        <v/>
      </c>
    </row>
    <row r="12">
      <c r="A12" s="1" t="n"/>
      <c r="B12" s="9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" t="n"/>
      <c r="R12" s="23">
        <f>IF(COUNT(C12:F12)&lt;4,"",AVERAGE(C12:F12))</f>
        <v/>
      </c>
      <c r="S12" s="23">
        <f>IF(COUNT(G12:I12)&lt;3,"",AVERAGE(G12:I12))</f>
        <v/>
      </c>
      <c r="T12" s="23">
        <f>IF(COUNT(J12:K12)&lt;2,"",AVERAGE(J12:K12))</f>
        <v/>
      </c>
      <c r="U12" s="23">
        <f>IF(COUNT(L12:N12)&lt;3,"",AVERAGE(L12:N12))</f>
        <v/>
      </c>
      <c r="V12" s="23">
        <f>IF(COUNT(O12:P12)&lt;2,"",AVERAGE(O12:P12))</f>
        <v/>
      </c>
      <c r="W12" s="24">
        <f>IF(COUNT(R12:V12)&lt;5,"",AVERAGE(R12:V12))</f>
        <v/>
      </c>
      <c r="X12" s="25">
        <f>IF(W12="","",IF(W12&gt;=4.21,"Excellent",IF(W12&gt;=3.41,"Very good",IF(W12&gt;=2.61,"Good",IF(W12&gt;=1.81,"Fair","Poor")))))</f>
        <v/>
      </c>
      <c r="Y12" s="1" t="n"/>
      <c r="Z12" s="26">
        <f>IF(COUNT(C12:F12)&lt;4,"",SUM(C12:F12))</f>
        <v/>
      </c>
      <c r="AA12" s="26">
        <f>IF(COUNT(G12:I12)&lt;3,"",SUM(G12:I12))</f>
        <v/>
      </c>
      <c r="AB12" s="26">
        <f>IF(COUNT(J12:K12)&lt;2,"",SUM(J12:K12))</f>
        <v/>
      </c>
      <c r="AC12" s="26">
        <f>IF(COUNT(L12:N12)&lt;3,"",SUM(L12:N12))</f>
        <v/>
      </c>
      <c r="AD12" s="26">
        <f>IF(COUNT(O12:P12)&lt;2,"",SUM(O12:P12))</f>
        <v/>
      </c>
    </row>
    <row r="13">
      <c r="A13" s="1" t="n"/>
      <c r="B13" s="9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" t="n"/>
      <c r="R13" s="23">
        <f>IF(COUNT(C13:F13)&lt;4,"",AVERAGE(C13:F13))</f>
        <v/>
      </c>
      <c r="S13" s="23">
        <f>IF(COUNT(G13:I13)&lt;3,"",AVERAGE(G13:I13))</f>
        <v/>
      </c>
      <c r="T13" s="23">
        <f>IF(COUNT(J13:K13)&lt;2,"",AVERAGE(J13:K13))</f>
        <v/>
      </c>
      <c r="U13" s="23">
        <f>IF(COUNT(L13:N13)&lt;3,"",AVERAGE(L13:N13))</f>
        <v/>
      </c>
      <c r="V13" s="23">
        <f>IF(COUNT(O13:P13)&lt;2,"",AVERAGE(O13:P13))</f>
        <v/>
      </c>
      <c r="W13" s="24">
        <f>IF(COUNT(R13:V13)&lt;5,"",AVERAGE(R13:V13))</f>
        <v/>
      </c>
      <c r="X13" s="25">
        <f>IF(W13="","",IF(W13&gt;=4.21,"Excellent",IF(W13&gt;=3.41,"Very good",IF(W13&gt;=2.61,"Good",IF(W13&gt;=1.81,"Fair","Poor")))))</f>
        <v/>
      </c>
      <c r="Y13" s="1" t="n"/>
      <c r="Z13" s="26">
        <f>IF(COUNT(C13:F13)&lt;4,"",SUM(C13:F13))</f>
        <v/>
      </c>
      <c r="AA13" s="26">
        <f>IF(COUNT(G13:I13)&lt;3,"",SUM(G13:I13))</f>
        <v/>
      </c>
      <c r="AB13" s="26">
        <f>IF(COUNT(J13:K13)&lt;2,"",SUM(J13:K13))</f>
        <v/>
      </c>
      <c r="AC13" s="26">
        <f>IF(COUNT(L13:N13)&lt;3,"",SUM(L13:N13))</f>
        <v/>
      </c>
      <c r="AD13" s="26">
        <f>IF(COUNT(O13:P13)&lt;2,"",SUM(O13:P13))</f>
        <v/>
      </c>
    </row>
    <row r="14">
      <c r="A14" s="1" t="n"/>
      <c r="B14" s="9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" t="n"/>
      <c r="R14" s="23">
        <f>IF(COUNT(C14:F14)&lt;4,"",AVERAGE(C14:F14))</f>
        <v/>
      </c>
      <c r="S14" s="23">
        <f>IF(COUNT(G14:I14)&lt;3,"",AVERAGE(G14:I14))</f>
        <v/>
      </c>
      <c r="T14" s="23">
        <f>IF(COUNT(J14:K14)&lt;2,"",AVERAGE(J14:K14))</f>
        <v/>
      </c>
      <c r="U14" s="23">
        <f>IF(COUNT(L14:N14)&lt;3,"",AVERAGE(L14:N14))</f>
        <v/>
      </c>
      <c r="V14" s="23">
        <f>IF(COUNT(O14:P14)&lt;2,"",AVERAGE(O14:P14))</f>
        <v/>
      </c>
      <c r="W14" s="24">
        <f>IF(COUNT(R14:V14)&lt;5,"",AVERAGE(R14:V14))</f>
        <v/>
      </c>
      <c r="X14" s="25">
        <f>IF(W14="","",IF(W14&gt;=4.21,"Excellent",IF(W14&gt;=3.41,"Very good",IF(W14&gt;=2.61,"Good",IF(W14&gt;=1.81,"Fair","Poor")))))</f>
        <v/>
      </c>
      <c r="Y14" s="1" t="n"/>
      <c r="Z14" s="26">
        <f>IF(COUNT(C14:F14)&lt;4,"",SUM(C14:F14))</f>
        <v/>
      </c>
      <c r="AA14" s="26">
        <f>IF(COUNT(G14:I14)&lt;3,"",SUM(G14:I14))</f>
        <v/>
      </c>
      <c r="AB14" s="26">
        <f>IF(COUNT(J14:K14)&lt;2,"",SUM(J14:K14))</f>
        <v/>
      </c>
      <c r="AC14" s="26">
        <f>IF(COUNT(L14:N14)&lt;3,"",SUM(L14:N14))</f>
        <v/>
      </c>
      <c r="AD14" s="26">
        <f>IF(COUNT(O14:P14)&lt;2,"",SUM(O14:P14))</f>
        <v/>
      </c>
    </row>
    <row r="15">
      <c r="A15" s="1" t="n"/>
      <c r="B15" s="9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" t="n"/>
      <c r="R15" s="23">
        <f>IF(COUNT(C15:F15)&lt;4,"",AVERAGE(C15:F15))</f>
        <v/>
      </c>
      <c r="S15" s="23">
        <f>IF(COUNT(G15:I15)&lt;3,"",AVERAGE(G15:I15))</f>
        <v/>
      </c>
      <c r="T15" s="23">
        <f>IF(COUNT(J15:K15)&lt;2,"",AVERAGE(J15:K15))</f>
        <v/>
      </c>
      <c r="U15" s="23">
        <f>IF(COUNT(L15:N15)&lt;3,"",AVERAGE(L15:N15))</f>
        <v/>
      </c>
      <c r="V15" s="23">
        <f>IF(COUNT(O15:P15)&lt;2,"",AVERAGE(O15:P15))</f>
        <v/>
      </c>
      <c r="W15" s="24">
        <f>IF(COUNT(R15:V15)&lt;5,"",AVERAGE(R15:V15))</f>
        <v/>
      </c>
      <c r="X15" s="25">
        <f>IF(W15="","",IF(W15&gt;=4.21,"Excellent",IF(W15&gt;=3.41,"Very good",IF(W15&gt;=2.61,"Good",IF(W15&gt;=1.81,"Fair","Poor")))))</f>
        <v/>
      </c>
      <c r="Y15" s="1" t="n"/>
      <c r="Z15" s="26">
        <f>IF(COUNT(C15:F15)&lt;4,"",SUM(C15:F15))</f>
        <v/>
      </c>
      <c r="AA15" s="26">
        <f>IF(COUNT(G15:I15)&lt;3,"",SUM(G15:I15))</f>
        <v/>
      </c>
      <c r="AB15" s="26">
        <f>IF(COUNT(J15:K15)&lt;2,"",SUM(J15:K15))</f>
        <v/>
      </c>
      <c r="AC15" s="26">
        <f>IF(COUNT(L15:N15)&lt;3,"",SUM(L15:N15))</f>
        <v/>
      </c>
      <c r="AD15" s="26">
        <f>IF(COUNT(O15:P15)&lt;2,"",SUM(O15:P15))</f>
        <v/>
      </c>
    </row>
    <row r="16">
      <c r="A16" s="1" t="n"/>
      <c r="B16" s="9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" t="n"/>
      <c r="R16" s="23">
        <f>IF(COUNT(C16:F16)&lt;4,"",AVERAGE(C16:F16))</f>
        <v/>
      </c>
      <c r="S16" s="23">
        <f>IF(COUNT(G16:I16)&lt;3,"",AVERAGE(G16:I16))</f>
        <v/>
      </c>
      <c r="T16" s="23">
        <f>IF(COUNT(J16:K16)&lt;2,"",AVERAGE(J16:K16))</f>
        <v/>
      </c>
      <c r="U16" s="23">
        <f>IF(COUNT(L16:N16)&lt;3,"",AVERAGE(L16:N16))</f>
        <v/>
      </c>
      <c r="V16" s="23">
        <f>IF(COUNT(O16:P16)&lt;2,"",AVERAGE(O16:P16))</f>
        <v/>
      </c>
      <c r="W16" s="24">
        <f>IF(COUNT(R16:V16)&lt;5,"",AVERAGE(R16:V16))</f>
        <v/>
      </c>
      <c r="X16" s="25">
        <f>IF(W16="","",IF(W16&gt;=4.21,"Excellent",IF(W16&gt;=3.41,"Very good",IF(W16&gt;=2.61,"Good",IF(W16&gt;=1.81,"Fair","Poor")))))</f>
        <v/>
      </c>
      <c r="Y16" s="1" t="n"/>
      <c r="Z16" s="26">
        <f>IF(COUNT(C16:F16)&lt;4,"",SUM(C16:F16))</f>
        <v/>
      </c>
      <c r="AA16" s="26">
        <f>IF(COUNT(G16:I16)&lt;3,"",SUM(G16:I16))</f>
        <v/>
      </c>
      <c r="AB16" s="26">
        <f>IF(COUNT(J16:K16)&lt;2,"",SUM(J16:K16))</f>
        <v/>
      </c>
      <c r="AC16" s="26">
        <f>IF(COUNT(L16:N16)&lt;3,"",SUM(L16:N16))</f>
        <v/>
      </c>
      <c r="AD16" s="26">
        <f>IF(COUNT(O16:P16)&lt;2,"",SUM(O16:P16))</f>
        <v/>
      </c>
    </row>
    <row r="17">
      <c r="A17" s="1" t="n"/>
      <c r="B17" s="9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" t="n"/>
      <c r="R17" s="23">
        <f>IF(COUNT(C17:F17)&lt;4,"",AVERAGE(C17:F17))</f>
        <v/>
      </c>
      <c r="S17" s="23">
        <f>IF(COUNT(G17:I17)&lt;3,"",AVERAGE(G17:I17))</f>
        <v/>
      </c>
      <c r="T17" s="23">
        <f>IF(COUNT(J17:K17)&lt;2,"",AVERAGE(J17:K17))</f>
        <v/>
      </c>
      <c r="U17" s="23">
        <f>IF(COUNT(L17:N17)&lt;3,"",AVERAGE(L17:N17))</f>
        <v/>
      </c>
      <c r="V17" s="23">
        <f>IF(COUNT(O17:P17)&lt;2,"",AVERAGE(O17:P17))</f>
        <v/>
      </c>
      <c r="W17" s="24">
        <f>IF(COUNT(R17:V17)&lt;5,"",AVERAGE(R17:V17))</f>
        <v/>
      </c>
      <c r="X17" s="25">
        <f>IF(W17="","",IF(W17&gt;=4.21,"Excellent",IF(W17&gt;=3.41,"Very good",IF(W17&gt;=2.61,"Good",IF(W17&gt;=1.81,"Fair","Poor")))))</f>
        <v/>
      </c>
      <c r="Y17" s="1" t="n"/>
      <c r="Z17" s="26">
        <f>IF(COUNT(C17:F17)&lt;4,"",SUM(C17:F17))</f>
        <v/>
      </c>
      <c r="AA17" s="26">
        <f>IF(COUNT(G17:I17)&lt;3,"",SUM(G17:I17))</f>
        <v/>
      </c>
      <c r="AB17" s="26">
        <f>IF(COUNT(J17:K17)&lt;2,"",SUM(J17:K17))</f>
        <v/>
      </c>
      <c r="AC17" s="26">
        <f>IF(COUNT(L17:N17)&lt;3,"",SUM(L17:N17))</f>
        <v/>
      </c>
      <c r="AD17" s="26">
        <f>IF(COUNT(O17:P17)&lt;2,"",SUM(O17:P17))</f>
        <v/>
      </c>
    </row>
    <row r="18">
      <c r="A18" s="1" t="n"/>
      <c r="B18" s="9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" t="n"/>
      <c r="R18" s="23">
        <f>IF(COUNT(C18:F18)&lt;4,"",AVERAGE(C18:F18))</f>
        <v/>
      </c>
      <c r="S18" s="23">
        <f>IF(COUNT(G18:I18)&lt;3,"",AVERAGE(G18:I18))</f>
        <v/>
      </c>
      <c r="T18" s="23">
        <f>IF(COUNT(J18:K18)&lt;2,"",AVERAGE(J18:K18))</f>
        <v/>
      </c>
      <c r="U18" s="23">
        <f>IF(COUNT(L18:N18)&lt;3,"",AVERAGE(L18:N18))</f>
        <v/>
      </c>
      <c r="V18" s="23">
        <f>IF(COUNT(O18:P18)&lt;2,"",AVERAGE(O18:P18))</f>
        <v/>
      </c>
      <c r="W18" s="24">
        <f>IF(COUNT(R18:V18)&lt;5,"",AVERAGE(R18:V18))</f>
        <v/>
      </c>
      <c r="X18" s="25">
        <f>IF(W18="","",IF(W18&gt;=4.21,"Excellent",IF(W18&gt;=3.41,"Very good",IF(W18&gt;=2.61,"Good",IF(W18&gt;=1.81,"Fair","Poor")))))</f>
        <v/>
      </c>
      <c r="Y18" s="1" t="n"/>
      <c r="Z18" s="26">
        <f>IF(COUNT(C18:F18)&lt;4,"",SUM(C18:F18))</f>
        <v/>
      </c>
      <c r="AA18" s="26">
        <f>IF(COUNT(G18:I18)&lt;3,"",SUM(G18:I18))</f>
        <v/>
      </c>
      <c r="AB18" s="26">
        <f>IF(COUNT(J18:K18)&lt;2,"",SUM(J18:K18))</f>
        <v/>
      </c>
      <c r="AC18" s="26">
        <f>IF(COUNT(L18:N18)&lt;3,"",SUM(L18:N18))</f>
        <v/>
      </c>
      <c r="AD18" s="26">
        <f>IF(COUNT(O18:P18)&lt;2,"",SUM(O18:P18))</f>
        <v/>
      </c>
    </row>
    <row r="19">
      <c r="A19" s="1" t="n"/>
      <c r="B19" s="9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" t="n"/>
      <c r="R19" s="23">
        <f>IF(COUNT(C19:F19)&lt;4,"",AVERAGE(C19:F19))</f>
        <v/>
      </c>
      <c r="S19" s="23">
        <f>IF(COUNT(G19:I19)&lt;3,"",AVERAGE(G19:I19))</f>
        <v/>
      </c>
      <c r="T19" s="23">
        <f>IF(COUNT(J19:K19)&lt;2,"",AVERAGE(J19:K19))</f>
        <v/>
      </c>
      <c r="U19" s="23">
        <f>IF(COUNT(L19:N19)&lt;3,"",AVERAGE(L19:N19))</f>
        <v/>
      </c>
      <c r="V19" s="23">
        <f>IF(COUNT(O19:P19)&lt;2,"",AVERAGE(O19:P19))</f>
        <v/>
      </c>
      <c r="W19" s="24">
        <f>IF(COUNT(R19:V19)&lt;5,"",AVERAGE(R19:V19))</f>
        <v/>
      </c>
      <c r="X19" s="25">
        <f>IF(W19="","",IF(W19&gt;=4.21,"Excellent",IF(W19&gt;=3.41,"Very good",IF(W19&gt;=2.61,"Good",IF(W19&gt;=1.81,"Fair","Poor")))))</f>
        <v/>
      </c>
      <c r="Y19" s="1" t="n"/>
      <c r="Z19" s="26">
        <f>IF(COUNT(C19:F19)&lt;4,"",SUM(C19:F19))</f>
        <v/>
      </c>
      <c r="AA19" s="26">
        <f>IF(COUNT(G19:I19)&lt;3,"",SUM(G19:I19))</f>
        <v/>
      </c>
      <c r="AB19" s="26">
        <f>IF(COUNT(J19:K19)&lt;2,"",SUM(J19:K19))</f>
        <v/>
      </c>
      <c r="AC19" s="26">
        <f>IF(COUNT(L19:N19)&lt;3,"",SUM(L19:N19))</f>
        <v/>
      </c>
      <c r="AD19" s="26">
        <f>IF(COUNT(O19:P19)&lt;2,"",SUM(O19:P19))</f>
        <v/>
      </c>
    </row>
    <row r="20">
      <c r="A20" s="1" t="n"/>
      <c r="B20" s="9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" t="n"/>
      <c r="R20" s="23">
        <f>IF(COUNT(C20:F20)&lt;4,"",AVERAGE(C20:F20))</f>
        <v/>
      </c>
      <c r="S20" s="23">
        <f>IF(COUNT(G20:I20)&lt;3,"",AVERAGE(G20:I20))</f>
        <v/>
      </c>
      <c r="T20" s="23">
        <f>IF(COUNT(J20:K20)&lt;2,"",AVERAGE(J20:K20))</f>
        <v/>
      </c>
      <c r="U20" s="23">
        <f>IF(COUNT(L20:N20)&lt;3,"",AVERAGE(L20:N20))</f>
        <v/>
      </c>
      <c r="V20" s="23">
        <f>IF(COUNT(O20:P20)&lt;2,"",AVERAGE(O20:P20))</f>
        <v/>
      </c>
      <c r="W20" s="24">
        <f>IF(COUNT(R20:V20)&lt;5,"",AVERAGE(R20:V20))</f>
        <v/>
      </c>
      <c r="X20" s="25">
        <f>IF(W20="","",IF(W20&gt;=4.21,"Excellent",IF(W20&gt;=3.41,"Very good",IF(W20&gt;=2.61,"Good",IF(W20&gt;=1.81,"Fair","Poor")))))</f>
        <v/>
      </c>
      <c r="Y20" s="1" t="n"/>
      <c r="Z20" s="26">
        <f>IF(COUNT(C20:F20)&lt;4,"",SUM(C20:F20))</f>
        <v/>
      </c>
      <c r="AA20" s="26">
        <f>IF(COUNT(G20:I20)&lt;3,"",SUM(G20:I20))</f>
        <v/>
      </c>
      <c r="AB20" s="26">
        <f>IF(COUNT(J20:K20)&lt;2,"",SUM(J20:K20))</f>
        <v/>
      </c>
      <c r="AC20" s="26">
        <f>IF(COUNT(L20:N20)&lt;3,"",SUM(L20:N20))</f>
        <v/>
      </c>
      <c r="AD20" s="26">
        <f>IF(COUNT(O20:P20)&lt;2,"",SUM(O20:P20))</f>
        <v/>
      </c>
    </row>
    <row r="21">
      <c r="A21" s="1" t="n"/>
      <c r="B21" s="9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" t="n"/>
      <c r="R21" s="23">
        <f>IF(COUNT(C21:F21)&lt;4,"",AVERAGE(C21:F21))</f>
        <v/>
      </c>
      <c r="S21" s="23">
        <f>IF(COUNT(G21:I21)&lt;3,"",AVERAGE(G21:I21))</f>
        <v/>
      </c>
      <c r="T21" s="23">
        <f>IF(COUNT(J21:K21)&lt;2,"",AVERAGE(J21:K21))</f>
        <v/>
      </c>
      <c r="U21" s="23">
        <f>IF(COUNT(L21:N21)&lt;3,"",AVERAGE(L21:N21))</f>
        <v/>
      </c>
      <c r="V21" s="23">
        <f>IF(COUNT(O21:P21)&lt;2,"",AVERAGE(O21:P21))</f>
        <v/>
      </c>
      <c r="W21" s="24">
        <f>IF(COUNT(R21:V21)&lt;5,"",AVERAGE(R21:V21))</f>
        <v/>
      </c>
      <c r="X21" s="25">
        <f>IF(W21="","",IF(W21&gt;=4.21,"Excellent",IF(W21&gt;=3.41,"Very good",IF(W21&gt;=2.61,"Good",IF(W21&gt;=1.81,"Fair","Poor")))))</f>
        <v/>
      </c>
      <c r="Y21" s="1" t="n"/>
      <c r="Z21" s="26">
        <f>IF(COUNT(C21:F21)&lt;4,"",SUM(C21:F21))</f>
        <v/>
      </c>
      <c r="AA21" s="26">
        <f>IF(COUNT(G21:I21)&lt;3,"",SUM(G21:I21))</f>
        <v/>
      </c>
      <c r="AB21" s="26">
        <f>IF(COUNT(J21:K21)&lt;2,"",SUM(J21:K21))</f>
        <v/>
      </c>
      <c r="AC21" s="26">
        <f>IF(COUNT(L21:N21)&lt;3,"",SUM(L21:N21))</f>
        <v/>
      </c>
      <c r="AD21" s="26">
        <f>IF(COUNT(O21:P21)&lt;2,"",SUM(O21:P21))</f>
        <v/>
      </c>
    </row>
    <row r="22">
      <c r="A22" s="1" t="n"/>
      <c r="B22" s="9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" t="n"/>
      <c r="R22" s="23">
        <f>IF(COUNT(C22:F22)&lt;4,"",AVERAGE(C22:F22))</f>
        <v/>
      </c>
      <c r="S22" s="23">
        <f>IF(COUNT(G22:I22)&lt;3,"",AVERAGE(G22:I22))</f>
        <v/>
      </c>
      <c r="T22" s="23">
        <f>IF(COUNT(J22:K22)&lt;2,"",AVERAGE(J22:K22))</f>
        <v/>
      </c>
      <c r="U22" s="23">
        <f>IF(COUNT(L22:N22)&lt;3,"",AVERAGE(L22:N22))</f>
        <v/>
      </c>
      <c r="V22" s="23">
        <f>IF(COUNT(O22:P22)&lt;2,"",AVERAGE(O22:P22))</f>
        <v/>
      </c>
      <c r="W22" s="24">
        <f>IF(COUNT(R22:V22)&lt;5,"",AVERAGE(R22:V22))</f>
        <v/>
      </c>
      <c r="X22" s="25">
        <f>IF(W22="","",IF(W22&gt;=4.21,"Excellent",IF(W22&gt;=3.41,"Very good",IF(W22&gt;=2.61,"Good",IF(W22&gt;=1.81,"Fair","Poor")))))</f>
        <v/>
      </c>
      <c r="Y22" s="1" t="n"/>
      <c r="Z22" s="26">
        <f>IF(COUNT(C22:F22)&lt;4,"",SUM(C22:F22))</f>
        <v/>
      </c>
      <c r="AA22" s="26">
        <f>IF(COUNT(G22:I22)&lt;3,"",SUM(G22:I22))</f>
        <v/>
      </c>
      <c r="AB22" s="26">
        <f>IF(COUNT(J22:K22)&lt;2,"",SUM(J22:K22))</f>
        <v/>
      </c>
      <c r="AC22" s="26">
        <f>IF(COUNT(L22:N22)&lt;3,"",SUM(L22:N22))</f>
        <v/>
      </c>
      <c r="AD22" s="26">
        <f>IF(COUNT(O22:P22)&lt;2,"",SUM(O22:P22))</f>
        <v/>
      </c>
    </row>
    <row r="23">
      <c r="A23" s="1" t="n"/>
      <c r="B23" s="9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" t="n"/>
      <c r="R23" s="23">
        <f>IF(COUNT(C23:F23)&lt;4,"",AVERAGE(C23:F23))</f>
        <v/>
      </c>
      <c r="S23" s="23">
        <f>IF(COUNT(G23:I23)&lt;3,"",AVERAGE(G23:I23))</f>
        <v/>
      </c>
      <c r="T23" s="23">
        <f>IF(COUNT(J23:K23)&lt;2,"",AVERAGE(J23:K23))</f>
        <v/>
      </c>
      <c r="U23" s="23">
        <f>IF(COUNT(L23:N23)&lt;3,"",AVERAGE(L23:N23))</f>
        <v/>
      </c>
      <c r="V23" s="23">
        <f>IF(COUNT(O23:P23)&lt;2,"",AVERAGE(O23:P23))</f>
        <v/>
      </c>
      <c r="W23" s="24">
        <f>IF(COUNT(R23:V23)&lt;5,"",AVERAGE(R23:V23))</f>
        <v/>
      </c>
      <c r="X23" s="25">
        <f>IF(W23="","",IF(W23&gt;=4.21,"Excellent",IF(W23&gt;=3.41,"Very good",IF(W23&gt;=2.61,"Good",IF(W23&gt;=1.81,"Fair","Poor")))))</f>
        <v/>
      </c>
      <c r="Y23" s="1" t="n"/>
      <c r="Z23" s="26">
        <f>IF(COUNT(C23:F23)&lt;4,"",SUM(C23:F23))</f>
        <v/>
      </c>
      <c r="AA23" s="26">
        <f>IF(COUNT(G23:I23)&lt;3,"",SUM(G23:I23))</f>
        <v/>
      </c>
      <c r="AB23" s="26">
        <f>IF(COUNT(J23:K23)&lt;2,"",SUM(J23:K23))</f>
        <v/>
      </c>
      <c r="AC23" s="26">
        <f>IF(COUNT(L23:N23)&lt;3,"",SUM(L23:N23))</f>
        <v/>
      </c>
      <c r="AD23" s="26">
        <f>IF(COUNT(O23:P23)&lt;2,"",SUM(O23:P23))</f>
        <v/>
      </c>
    </row>
    <row r="24">
      <c r="A24" s="1" t="n"/>
      <c r="B24" s="9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" t="n"/>
      <c r="R24" s="23">
        <f>IF(COUNT(C24:F24)&lt;4,"",AVERAGE(C24:F24))</f>
        <v/>
      </c>
      <c r="S24" s="23">
        <f>IF(COUNT(G24:I24)&lt;3,"",AVERAGE(G24:I24))</f>
        <v/>
      </c>
      <c r="T24" s="23">
        <f>IF(COUNT(J24:K24)&lt;2,"",AVERAGE(J24:K24))</f>
        <v/>
      </c>
      <c r="U24" s="23">
        <f>IF(COUNT(L24:N24)&lt;3,"",AVERAGE(L24:N24))</f>
        <v/>
      </c>
      <c r="V24" s="23">
        <f>IF(COUNT(O24:P24)&lt;2,"",AVERAGE(O24:P24))</f>
        <v/>
      </c>
      <c r="W24" s="24">
        <f>IF(COUNT(R24:V24)&lt;5,"",AVERAGE(R24:V24))</f>
        <v/>
      </c>
      <c r="X24" s="25">
        <f>IF(W24="","",IF(W24&gt;=4.21,"Excellent",IF(W24&gt;=3.41,"Very good",IF(W24&gt;=2.61,"Good",IF(W24&gt;=1.81,"Fair","Poor")))))</f>
        <v/>
      </c>
      <c r="Y24" s="1" t="n"/>
      <c r="Z24" s="26">
        <f>IF(COUNT(C24:F24)&lt;4,"",SUM(C24:F24))</f>
        <v/>
      </c>
      <c r="AA24" s="26">
        <f>IF(COUNT(G24:I24)&lt;3,"",SUM(G24:I24))</f>
        <v/>
      </c>
      <c r="AB24" s="26">
        <f>IF(COUNT(J24:K24)&lt;2,"",SUM(J24:K24))</f>
        <v/>
      </c>
      <c r="AC24" s="26">
        <f>IF(COUNT(L24:N24)&lt;3,"",SUM(L24:N24))</f>
        <v/>
      </c>
      <c r="AD24" s="26">
        <f>IF(COUNT(O24:P24)&lt;2,"",SUM(O24:P24))</f>
        <v/>
      </c>
    </row>
    <row r="25">
      <c r="A25" s="1" t="n"/>
      <c r="B25" s="9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" t="n"/>
      <c r="R25" s="23">
        <f>IF(COUNT(C25:F25)&lt;4,"",AVERAGE(C25:F25))</f>
        <v/>
      </c>
      <c r="S25" s="23">
        <f>IF(COUNT(G25:I25)&lt;3,"",AVERAGE(G25:I25))</f>
        <v/>
      </c>
      <c r="T25" s="23">
        <f>IF(COUNT(J25:K25)&lt;2,"",AVERAGE(J25:K25))</f>
        <v/>
      </c>
      <c r="U25" s="23">
        <f>IF(COUNT(L25:N25)&lt;3,"",AVERAGE(L25:N25))</f>
        <v/>
      </c>
      <c r="V25" s="23">
        <f>IF(COUNT(O25:P25)&lt;2,"",AVERAGE(O25:P25))</f>
        <v/>
      </c>
      <c r="W25" s="24">
        <f>IF(COUNT(R25:V25)&lt;5,"",AVERAGE(R25:V25))</f>
        <v/>
      </c>
      <c r="X25" s="25">
        <f>IF(W25="","",IF(W25&gt;=4.21,"Excellent",IF(W25&gt;=3.41,"Very good",IF(W25&gt;=2.61,"Good",IF(W25&gt;=1.81,"Fair","Poor")))))</f>
        <v/>
      </c>
      <c r="Y25" s="1" t="n"/>
      <c r="Z25" s="26">
        <f>IF(COUNT(C25:F25)&lt;4,"",SUM(C25:F25))</f>
        <v/>
      </c>
      <c r="AA25" s="26">
        <f>IF(COUNT(G25:I25)&lt;3,"",SUM(G25:I25))</f>
        <v/>
      </c>
      <c r="AB25" s="26">
        <f>IF(COUNT(J25:K25)&lt;2,"",SUM(J25:K25))</f>
        <v/>
      </c>
      <c r="AC25" s="26">
        <f>IF(COUNT(L25:N25)&lt;3,"",SUM(L25:N25))</f>
        <v/>
      </c>
      <c r="AD25" s="26">
        <f>IF(COUNT(O25:P25)&lt;2,"",SUM(O25:P25))</f>
        <v/>
      </c>
    </row>
    <row r="26">
      <c r="A26" s="1" t="n"/>
      <c r="B26" s="9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" t="n"/>
      <c r="R26" s="23">
        <f>IF(COUNT(C26:F26)&lt;4,"",AVERAGE(C26:F26))</f>
        <v/>
      </c>
      <c r="S26" s="23">
        <f>IF(COUNT(G26:I26)&lt;3,"",AVERAGE(G26:I26))</f>
        <v/>
      </c>
      <c r="T26" s="23">
        <f>IF(COUNT(J26:K26)&lt;2,"",AVERAGE(J26:K26))</f>
        <v/>
      </c>
      <c r="U26" s="23">
        <f>IF(COUNT(L26:N26)&lt;3,"",AVERAGE(L26:N26))</f>
        <v/>
      </c>
      <c r="V26" s="23">
        <f>IF(COUNT(O26:P26)&lt;2,"",AVERAGE(O26:P26))</f>
        <v/>
      </c>
      <c r="W26" s="24">
        <f>IF(COUNT(R26:V26)&lt;5,"",AVERAGE(R26:V26))</f>
        <v/>
      </c>
      <c r="X26" s="25">
        <f>IF(W26="","",IF(W26&gt;=4.21,"Excellent",IF(W26&gt;=3.41,"Very good",IF(W26&gt;=2.61,"Good",IF(W26&gt;=1.81,"Fair","Poor")))))</f>
        <v/>
      </c>
      <c r="Y26" s="1" t="n"/>
      <c r="Z26" s="26">
        <f>IF(COUNT(C26:F26)&lt;4,"",SUM(C26:F26))</f>
        <v/>
      </c>
      <c r="AA26" s="26">
        <f>IF(COUNT(G26:I26)&lt;3,"",SUM(G26:I26))</f>
        <v/>
      </c>
      <c r="AB26" s="26">
        <f>IF(COUNT(J26:K26)&lt;2,"",SUM(J26:K26))</f>
        <v/>
      </c>
      <c r="AC26" s="26">
        <f>IF(COUNT(L26:N26)&lt;3,"",SUM(L26:N26))</f>
        <v/>
      </c>
      <c r="AD26" s="26">
        <f>IF(COUNT(O26:P26)&lt;2,"",SUM(O26:P26))</f>
        <v/>
      </c>
    </row>
    <row r="27">
      <c r="A27" s="1" t="n"/>
      <c r="B27" s="9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" t="n"/>
      <c r="R27" s="23">
        <f>IF(COUNT(C27:F27)&lt;4,"",AVERAGE(C27:F27))</f>
        <v/>
      </c>
      <c r="S27" s="23">
        <f>IF(COUNT(G27:I27)&lt;3,"",AVERAGE(G27:I27))</f>
        <v/>
      </c>
      <c r="T27" s="23">
        <f>IF(COUNT(J27:K27)&lt;2,"",AVERAGE(J27:K27))</f>
        <v/>
      </c>
      <c r="U27" s="23">
        <f>IF(COUNT(L27:N27)&lt;3,"",AVERAGE(L27:N27))</f>
        <v/>
      </c>
      <c r="V27" s="23">
        <f>IF(COUNT(O27:P27)&lt;2,"",AVERAGE(O27:P27))</f>
        <v/>
      </c>
      <c r="W27" s="24">
        <f>IF(COUNT(R27:V27)&lt;5,"",AVERAGE(R27:V27))</f>
        <v/>
      </c>
      <c r="X27" s="25">
        <f>IF(W27="","",IF(W27&gt;=4.21,"Excellent",IF(W27&gt;=3.41,"Very good",IF(W27&gt;=2.61,"Good",IF(W27&gt;=1.81,"Fair","Poor")))))</f>
        <v/>
      </c>
      <c r="Y27" s="1" t="n"/>
      <c r="Z27" s="26">
        <f>IF(COUNT(C27:F27)&lt;4,"",SUM(C27:F27))</f>
        <v/>
      </c>
      <c r="AA27" s="26">
        <f>IF(COUNT(G27:I27)&lt;3,"",SUM(G27:I27))</f>
        <v/>
      </c>
      <c r="AB27" s="26">
        <f>IF(COUNT(J27:K27)&lt;2,"",SUM(J27:K27))</f>
        <v/>
      </c>
      <c r="AC27" s="26">
        <f>IF(COUNT(L27:N27)&lt;3,"",SUM(L27:N27))</f>
        <v/>
      </c>
      <c r="AD27" s="26">
        <f>IF(COUNT(O27:P27)&lt;2,"",SUM(O27:P27))</f>
        <v/>
      </c>
    </row>
    <row r="28">
      <c r="A28" s="1" t="n"/>
      <c r="B28" s="9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" t="n"/>
      <c r="R28" s="23">
        <f>IF(COUNT(C28:F28)&lt;4,"",AVERAGE(C28:F28))</f>
        <v/>
      </c>
      <c r="S28" s="23">
        <f>IF(COUNT(G28:I28)&lt;3,"",AVERAGE(G28:I28))</f>
        <v/>
      </c>
      <c r="T28" s="23">
        <f>IF(COUNT(J28:K28)&lt;2,"",AVERAGE(J28:K28))</f>
        <v/>
      </c>
      <c r="U28" s="23">
        <f>IF(COUNT(L28:N28)&lt;3,"",AVERAGE(L28:N28))</f>
        <v/>
      </c>
      <c r="V28" s="23">
        <f>IF(COUNT(O28:P28)&lt;2,"",AVERAGE(O28:P28))</f>
        <v/>
      </c>
      <c r="W28" s="24">
        <f>IF(COUNT(R28:V28)&lt;5,"",AVERAGE(R28:V28))</f>
        <v/>
      </c>
      <c r="X28" s="25">
        <f>IF(W28="","",IF(W28&gt;=4.21,"Excellent",IF(W28&gt;=3.41,"Very good",IF(W28&gt;=2.61,"Good",IF(W28&gt;=1.81,"Fair","Poor")))))</f>
        <v/>
      </c>
      <c r="Y28" s="1" t="n"/>
      <c r="Z28" s="26">
        <f>IF(COUNT(C28:F28)&lt;4,"",SUM(C28:F28))</f>
        <v/>
      </c>
      <c r="AA28" s="26">
        <f>IF(COUNT(G28:I28)&lt;3,"",SUM(G28:I28))</f>
        <v/>
      </c>
      <c r="AB28" s="26">
        <f>IF(COUNT(J28:K28)&lt;2,"",SUM(J28:K28))</f>
        <v/>
      </c>
      <c r="AC28" s="26">
        <f>IF(COUNT(L28:N28)&lt;3,"",SUM(L28:N28))</f>
        <v/>
      </c>
      <c r="AD28" s="26">
        <f>IF(COUNT(O28:P28)&lt;2,"",SUM(O28:P28))</f>
        <v/>
      </c>
    </row>
    <row r="29">
      <c r="A29" s="1" t="n"/>
      <c r="B29" s="9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" t="n"/>
      <c r="R29" s="23">
        <f>IF(COUNT(C29:F29)&lt;4,"",AVERAGE(C29:F29))</f>
        <v/>
      </c>
      <c r="S29" s="23">
        <f>IF(COUNT(G29:I29)&lt;3,"",AVERAGE(G29:I29))</f>
        <v/>
      </c>
      <c r="T29" s="23">
        <f>IF(COUNT(J29:K29)&lt;2,"",AVERAGE(J29:K29))</f>
        <v/>
      </c>
      <c r="U29" s="23">
        <f>IF(COUNT(L29:N29)&lt;3,"",AVERAGE(L29:N29))</f>
        <v/>
      </c>
      <c r="V29" s="23">
        <f>IF(COUNT(O29:P29)&lt;2,"",AVERAGE(O29:P29))</f>
        <v/>
      </c>
      <c r="W29" s="24">
        <f>IF(COUNT(R29:V29)&lt;5,"",AVERAGE(R29:V29))</f>
        <v/>
      </c>
      <c r="X29" s="25">
        <f>IF(W29="","",IF(W29&gt;=4.21,"Excellent",IF(W29&gt;=3.41,"Very good",IF(W29&gt;=2.61,"Good",IF(W29&gt;=1.81,"Fair","Poor")))))</f>
        <v/>
      </c>
      <c r="Y29" s="1" t="n"/>
      <c r="Z29" s="26">
        <f>IF(COUNT(C29:F29)&lt;4,"",SUM(C29:F29))</f>
        <v/>
      </c>
      <c r="AA29" s="26">
        <f>IF(COUNT(G29:I29)&lt;3,"",SUM(G29:I29))</f>
        <v/>
      </c>
      <c r="AB29" s="26">
        <f>IF(COUNT(J29:K29)&lt;2,"",SUM(J29:K29))</f>
        <v/>
      </c>
      <c r="AC29" s="26">
        <f>IF(COUNT(L29:N29)&lt;3,"",SUM(L29:N29))</f>
        <v/>
      </c>
      <c r="AD29" s="26">
        <f>IF(COUNT(O29:P29)&lt;2,"",SUM(O29:P29))</f>
        <v/>
      </c>
    </row>
    <row r="30">
      <c r="A30" s="1" t="n"/>
      <c r="B30" s="9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" t="n"/>
      <c r="R30" s="23">
        <f>IF(COUNT(C30:F30)&lt;4,"",AVERAGE(C30:F30))</f>
        <v/>
      </c>
      <c r="S30" s="23">
        <f>IF(COUNT(G30:I30)&lt;3,"",AVERAGE(G30:I30))</f>
        <v/>
      </c>
      <c r="T30" s="23">
        <f>IF(COUNT(J30:K30)&lt;2,"",AVERAGE(J30:K30))</f>
        <v/>
      </c>
      <c r="U30" s="23">
        <f>IF(COUNT(L30:N30)&lt;3,"",AVERAGE(L30:N30))</f>
        <v/>
      </c>
      <c r="V30" s="23">
        <f>IF(COUNT(O30:P30)&lt;2,"",AVERAGE(O30:P30))</f>
        <v/>
      </c>
      <c r="W30" s="24">
        <f>IF(COUNT(R30:V30)&lt;5,"",AVERAGE(R30:V30))</f>
        <v/>
      </c>
      <c r="X30" s="25">
        <f>IF(W30="","",IF(W30&gt;=4.21,"Excellent",IF(W30&gt;=3.41,"Very good",IF(W30&gt;=2.61,"Good",IF(W30&gt;=1.81,"Fair","Poor")))))</f>
        <v/>
      </c>
      <c r="Y30" s="1" t="n"/>
      <c r="Z30" s="26">
        <f>IF(COUNT(C30:F30)&lt;4,"",SUM(C30:F30))</f>
        <v/>
      </c>
      <c r="AA30" s="26">
        <f>IF(COUNT(G30:I30)&lt;3,"",SUM(G30:I30))</f>
        <v/>
      </c>
      <c r="AB30" s="26">
        <f>IF(COUNT(J30:K30)&lt;2,"",SUM(J30:K30))</f>
        <v/>
      </c>
      <c r="AC30" s="26">
        <f>IF(COUNT(L30:N30)&lt;3,"",SUM(L30:N30))</f>
        <v/>
      </c>
      <c r="AD30" s="26">
        <f>IF(COUNT(O30:P30)&lt;2,"",SUM(O30:P30))</f>
        <v/>
      </c>
    </row>
    <row r="31">
      <c r="A31" s="1" t="n"/>
      <c r="B31" s="9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" t="n"/>
      <c r="R31" s="23">
        <f>IF(COUNT(C31:F31)&lt;4,"",AVERAGE(C31:F31))</f>
        <v/>
      </c>
      <c r="S31" s="23">
        <f>IF(COUNT(G31:I31)&lt;3,"",AVERAGE(G31:I31))</f>
        <v/>
      </c>
      <c r="T31" s="23">
        <f>IF(COUNT(J31:K31)&lt;2,"",AVERAGE(J31:K31))</f>
        <v/>
      </c>
      <c r="U31" s="23">
        <f>IF(COUNT(L31:N31)&lt;3,"",AVERAGE(L31:N31))</f>
        <v/>
      </c>
      <c r="V31" s="23">
        <f>IF(COUNT(O31:P31)&lt;2,"",AVERAGE(O31:P31))</f>
        <v/>
      </c>
      <c r="W31" s="24">
        <f>IF(COUNT(R31:V31)&lt;5,"",AVERAGE(R31:V31))</f>
        <v/>
      </c>
      <c r="X31" s="25">
        <f>IF(W31="","",IF(W31&gt;=4.21,"Excellent",IF(W31&gt;=3.41,"Very good",IF(W31&gt;=2.61,"Good",IF(W31&gt;=1.81,"Fair","Poor")))))</f>
        <v/>
      </c>
      <c r="Y31" s="1" t="n"/>
      <c r="Z31" s="26">
        <f>IF(COUNT(C31:F31)&lt;4,"",SUM(C31:F31))</f>
        <v/>
      </c>
      <c r="AA31" s="26">
        <f>IF(COUNT(G31:I31)&lt;3,"",SUM(G31:I31))</f>
        <v/>
      </c>
      <c r="AB31" s="26">
        <f>IF(COUNT(J31:K31)&lt;2,"",SUM(J31:K31))</f>
        <v/>
      </c>
      <c r="AC31" s="26">
        <f>IF(COUNT(L31:N31)&lt;3,"",SUM(L31:N31))</f>
        <v/>
      </c>
      <c r="AD31" s="26">
        <f>IF(COUNT(O31:P31)&lt;2,"",SUM(O31:P31))</f>
        <v/>
      </c>
    </row>
    <row r="32">
      <c r="A32" s="1" t="n"/>
      <c r="B32" s="9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" t="n"/>
      <c r="R32" s="23">
        <f>IF(COUNT(C32:F32)&lt;4,"",AVERAGE(C32:F32))</f>
        <v/>
      </c>
      <c r="S32" s="23">
        <f>IF(COUNT(G32:I32)&lt;3,"",AVERAGE(G32:I32))</f>
        <v/>
      </c>
      <c r="T32" s="23">
        <f>IF(COUNT(J32:K32)&lt;2,"",AVERAGE(J32:K32))</f>
        <v/>
      </c>
      <c r="U32" s="23">
        <f>IF(COUNT(L32:N32)&lt;3,"",AVERAGE(L32:N32))</f>
        <v/>
      </c>
      <c r="V32" s="23">
        <f>IF(COUNT(O32:P32)&lt;2,"",AVERAGE(O32:P32))</f>
        <v/>
      </c>
      <c r="W32" s="24">
        <f>IF(COUNT(R32:V32)&lt;5,"",AVERAGE(R32:V32))</f>
        <v/>
      </c>
      <c r="X32" s="25">
        <f>IF(W32="","",IF(W32&gt;=4.21,"Excellent",IF(W32&gt;=3.41,"Very good",IF(W32&gt;=2.61,"Good",IF(W32&gt;=1.81,"Fair","Poor")))))</f>
        <v/>
      </c>
      <c r="Y32" s="1" t="n"/>
      <c r="Z32" s="26">
        <f>IF(COUNT(C32:F32)&lt;4,"",SUM(C32:F32))</f>
        <v/>
      </c>
      <c r="AA32" s="26">
        <f>IF(COUNT(G32:I32)&lt;3,"",SUM(G32:I32))</f>
        <v/>
      </c>
      <c r="AB32" s="26">
        <f>IF(COUNT(J32:K32)&lt;2,"",SUM(J32:K32))</f>
        <v/>
      </c>
      <c r="AC32" s="26">
        <f>IF(COUNT(L32:N32)&lt;3,"",SUM(L32:N32))</f>
        <v/>
      </c>
      <c r="AD32" s="26">
        <f>IF(COUNT(O32:P32)&lt;2,"",SUM(O32:P32))</f>
        <v/>
      </c>
    </row>
    <row r="33">
      <c r="A33" s="1" t="n"/>
      <c r="B33" s="9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" t="n"/>
      <c r="R33" s="23">
        <f>IF(COUNT(C33:F33)&lt;4,"",AVERAGE(C33:F33))</f>
        <v/>
      </c>
      <c r="S33" s="23">
        <f>IF(COUNT(G33:I33)&lt;3,"",AVERAGE(G33:I33))</f>
        <v/>
      </c>
      <c r="T33" s="23">
        <f>IF(COUNT(J33:K33)&lt;2,"",AVERAGE(J33:K33))</f>
        <v/>
      </c>
      <c r="U33" s="23">
        <f>IF(COUNT(L33:N33)&lt;3,"",AVERAGE(L33:N33))</f>
        <v/>
      </c>
      <c r="V33" s="23">
        <f>IF(COUNT(O33:P33)&lt;2,"",AVERAGE(O33:P33))</f>
        <v/>
      </c>
      <c r="W33" s="24">
        <f>IF(COUNT(R33:V33)&lt;5,"",AVERAGE(R33:V33))</f>
        <v/>
      </c>
      <c r="X33" s="25">
        <f>IF(W33="","",IF(W33&gt;=4.21,"Excellent",IF(W33&gt;=3.41,"Very good",IF(W33&gt;=2.61,"Good",IF(W33&gt;=1.81,"Fair","Poor")))))</f>
        <v/>
      </c>
      <c r="Y33" s="1" t="n"/>
      <c r="Z33" s="26">
        <f>IF(COUNT(C33:F33)&lt;4,"",SUM(C33:F33))</f>
        <v/>
      </c>
      <c r="AA33" s="26">
        <f>IF(COUNT(G33:I33)&lt;3,"",SUM(G33:I33))</f>
        <v/>
      </c>
      <c r="AB33" s="26">
        <f>IF(COUNT(J33:K33)&lt;2,"",SUM(J33:K33))</f>
        <v/>
      </c>
      <c r="AC33" s="26">
        <f>IF(COUNT(L33:N33)&lt;3,"",SUM(L33:N33))</f>
        <v/>
      </c>
      <c r="AD33" s="26">
        <f>IF(COUNT(O33:P33)&lt;2,"",SUM(O33:P33))</f>
        <v/>
      </c>
    </row>
    <row r="34">
      <c r="A34" s="1" t="n"/>
      <c r="B34" s="9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" t="n"/>
      <c r="R34" s="23">
        <f>IF(COUNT(C34:F34)&lt;4,"",AVERAGE(C34:F34))</f>
        <v/>
      </c>
      <c r="S34" s="23">
        <f>IF(COUNT(G34:I34)&lt;3,"",AVERAGE(G34:I34))</f>
        <v/>
      </c>
      <c r="T34" s="23">
        <f>IF(COUNT(J34:K34)&lt;2,"",AVERAGE(J34:K34))</f>
        <v/>
      </c>
      <c r="U34" s="23">
        <f>IF(COUNT(L34:N34)&lt;3,"",AVERAGE(L34:N34))</f>
        <v/>
      </c>
      <c r="V34" s="23">
        <f>IF(COUNT(O34:P34)&lt;2,"",AVERAGE(O34:P34))</f>
        <v/>
      </c>
      <c r="W34" s="24">
        <f>IF(COUNT(R34:V34)&lt;5,"",AVERAGE(R34:V34))</f>
        <v/>
      </c>
      <c r="X34" s="25">
        <f>IF(W34="","",IF(W34&gt;=4.21,"Excellent",IF(W34&gt;=3.41,"Very good",IF(W34&gt;=2.61,"Good",IF(W34&gt;=1.81,"Fair","Poor")))))</f>
        <v/>
      </c>
      <c r="Y34" s="1" t="n"/>
      <c r="Z34" s="26">
        <f>IF(COUNT(C34:F34)&lt;4,"",SUM(C34:F34))</f>
        <v/>
      </c>
      <c r="AA34" s="26">
        <f>IF(COUNT(G34:I34)&lt;3,"",SUM(G34:I34))</f>
        <v/>
      </c>
      <c r="AB34" s="26">
        <f>IF(COUNT(J34:K34)&lt;2,"",SUM(J34:K34))</f>
        <v/>
      </c>
      <c r="AC34" s="26">
        <f>IF(COUNT(L34:N34)&lt;3,"",SUM(L34:N34))</f>
        <v/>
      </c>
      <c r="AD34" s="26">
        <f>IF(COUNT(O34:P34)&lt;2,"",SUM(O34:P34))</f>
        <v/>
      </c>
    </row>
    <row r="35">
      <c r="A35" s="1" t="n"/>
      <c r="B35" s="9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" t="n"/>
      <c r="R35" s="23">
        <f>IF(COUNT(C35:F35)&lt;4,"",AVERAGE(C35:F35))</f>
        <v/>
      </c>
      <c r="S35" s="23">
        <f>IF(COUNT(G35:I35)&lt;3,"",AVERAGE(G35:I35))</f>
        <v/>
      </c>
      <c r="T35" s="23">
        <f>IF(COUNT(J35:K35)&lt;2,"",AVERAGE(J35:K35))</f>
        <v/>
      </c>
      <c r="U35" s="23">
        <f>IF(COUNT(L35:N35)&lt;3,"",AVERAGE(L35:N35))</f>
        <v/>
      </c>
      <c r="V35" s="23">
        <f>IF(COUNT(O35:P35)&lt;2,"",AVERAGE(O35:P35))</f>
        <v/>
      </c>
      <c r="W35" s="24">
        <f>IF(COUNT(R35:V35)&lt;5,"",AVERAGE(R35:V35))</f>
        <v/>
      </c>
      <c r="X35" s="25">
        <f>IF(W35="","",IF(W35&gt;=4.21,"Excellent",IF(W35&gt;=3.41,"Very good",IF(W35&gt;=2.61,"Good",IF(W35&gt;=1.81,"Fair","Poor")))))</f>
        <v/>
      </c>
      <c r="Y35" s="1" t="n"/>
      <c r="Z35" s="26">
        <f>IF(COUNT(C35:F35)&lt;4,"",SUM(C35:F35))</f>
        <v/>
      </c>
      <c r="AA35" s="26">
        <f>IF(COUNT(G35:I35)&lt;3,"",SUM(G35:I35))</f>
        <v/>
      </c>
      <c r="AB35" s="26">
        <f>IF(COUNT(J35:K35)&lt;2,"",SUM(J35:K35))</f>
        <v/>
      </c>
      <c r="AC35" s="26">
        <f>IF(COUNT(L35:N35)&lt;3,"",SUM(L35:N35))</f>
        <v/>
      </c>
      <c r="AD35" s="26">
        <f>IF(COUNT(O35:P35)&lt;2,"",SUM(O35:P35))</f>
        <v/>
      </c>
    </row>
    <row r="36">
      <c r="A36" s="1" t="n"/>
      <c r="B36" s="9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" t="n"/>
      <c r="R36" s="23">
        <f>IF(COUNT(C36:F36)&lt;4,"",AVERAGE(C36:F36))</f>
        <v/>
      </c>
      <c r="S36" s="23">
        <f>IF(COUNT(G36:I36)&lt;3,"",AVERAGE(G36:I36))</f>
        <v/>
      </c>
      <c r="T36" s="23">
        <f>IF(COUNT(J36:K36)&lt;2,"",AVERAGE(J36:K36))</f>
        <v/>
      </c>
      <c r="U36" s="23">
        <f>IF(COUNT(L36:N36)&lt;3,"",AVERAGE(L36:N36))</f>
        <v/>
      </c>
      <c r="V36" s="23">
        <f>IF(COUNT(O36:P36)&lt;2,"",AVERAGE(O36:P36))</f>
        <v/>
      </c>
      <c r="W36" s="24">
        <f>IF(COUNT(R36:V36)&lt;5,"",AVERAGE(R36:V36))</f>
        <v/>
      </c>
      <c r="X36" s="25">
        <f>IF(W36="","",IF(W36&gt;=4.21,"Excellent",IF(W36&gt;=3.41,"Very good",IF(W36&gt;=2.61,"Good",IF(W36&gt;=1.81,"Fair","Poor")))))</f>
        <v/>
      </c>
      <c r="Y36" s="1" t="n"/>
      <c r="Z36" s="26">
        <f>IF(COUNT(C36:F36)&lt;4,"",SUM(C36:F36))</f>
        <v/>
      </c>
      <c r="AA36" s="26">
        <f>IF(COUNT(G36:I36)&lt;3,"",SUM(G36:I36))</f>
        <v/>
      </c>
      <c r="AB36" s="26">
        <f>IF(COUNT(J36:K36)&lt;2,"",SUM(J36:K36))</f>
        <v/>
      </c>
      <c r="AC36" s="26">
        <f>IF(COUNT(L36:N36)&lt;3,"",SUM(L36:N36))</f>
        <v/>
      </c>
      <c r="AD36" s="26">
        <f>IF(COUNT(O36:P36)&lt;2,"",SUM(O36:P36))</f>
        <v/>
      </c>
    </row>
    <row r="37">
      <c r="A37" s="1" t="n"/>
      <c r="B37" s="9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0" t="n"/>
      <c r="Q37" s="1" t="n"/>
      <c r="R37" s="23">
        <f>IF(COUNT(C37:F37)&lt;4,"",AVERAGE(C37:F37))</f>
        <v/>
      </c>
      <c r="S37" s="23">
        <f>IF(COUNT(G37:I37)&lt;3,"",AVERAGE(G37:I37))</f>
        <v/>
      </c>
      <c r="T37" s="23">
        <f>IF(COUNT(J37:K37)&lt;2,"",AVERAGE(J37:K37))</f>
        <v/>
      </c>
      <c r="U37" s="23">
        <f>IF(COUNT(L37:N37)&lt;3,"",AVERAGE(L37:N37))</f>
        <v/>
      </c>
      <c r="V37" s="23">
        <f>IF(COUNT(O37:P37)&lt;2,"",AVERAGE(O37:P37))</f>
        <v/>
      </c>
      <c r="W37" s="24">
        <f>IF(COUNT(R37:V37)&lt;5,"",AVERAGE(R37:V37))</f>
        <v/>
      </c>
      <c r="X37" s="25">
        <f>IF(W37="","",IF(W37&gt;=4.21,"Excellent",IF(W37&gt;=3.41,"Very good",IF(W37&gt;=2.61,"Good",IF(W37&gt;=1.81,"Fair","Poor")))))</f>
        <v/>
      </c>
      <c r="Y37" s="1" t="n"/>
      <c r="Z37" s="26">
        <f>IF(COUNT(C37:F37)&lt;4,"",SUM(C37:F37))</f>
        <v/>
      </c>
      <c r="AA37" s="26">
        <f>IF(COUNT(G37:I37)&lt;3,"",SUM(G37:I37))</f>
        <v/>
      </c>
      <c r="AB37" s="26">
        <f>IF(COUNT(J37:K37)&lt;2,"",SUM(J37:K37))</f>
        <v/>
      </c>
      <c r="AC37" s="26">
        <f>IF(COUNT(L37:N37)&lt;3,"",SUM(L37:N37))</f>
        <v/>
      </c>
      <c r="AD37" s="26">
        <f>IF(COUNT(O37:P37)&lt;2,"",SUM(O37:P37))</f>
        <v/>
      </c>
    </row>
    <row r="38">
      <c r="A38" s="1" t="n"/>
      <c r="B38" s="9" t="n"/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0" t="n"/>
      <c r="Q38" s="1" t="n"/>
      <c r="R38" s="23">
        <f>IF(COUNT(C38:F38)&lt;4,"",AVERAGE(C38:F38))</f>
        <v/>
      </c>
      <c r="S38" s="23">
        <f>IF(COUNT(G38:I38)&lt;3,"",AVERAGE(G38:I38))</f>
        <v/>
      </c>
      <c r="T38" s="23">
        <f>IF(COUNT(J38:K38)&lt;2,"",AVERAGE(J38:K38))</f>
        <v/>
      </c>
      <c r="U38" s="23">
        <f>IF(COUNT(L38:N38)&lt;3,"",AVERAGE(L38:N38))</f>
        <v/>
      </c>
      <c r="V38" s="23">
        <f>IF(COUNT(O38:P38)&lt;2,"",AVERAGE(O38:P38))</f>
        <v/>
      </c>
      <c r="W38" s="24">
        <f>IF(COUNT(R38:V38)&lt;5,"",AVERAGE(R38:V38))</f>
        <v/>
      </c>
      <c r="X38" s="25">
        <f>IF(W38="","",IF(W38&gt;=4.21,"Excellent",IF(W38&gt;=3.41,"Very good",IF(W38&gt;=2.61,"Good",IF(W38&gt;=1.81,"Fair","Poor")))))</f>
        <v/>
      </c>
      <c r="Y38" s="1" t="n"/>
      <c r="Z38" s="26">
        <f>IF(COUNT(C38:F38)&lt;4,"",SUM(C38:F38))</f>
        <v/>
      </c>
      <c r="AA38" s="26">
        <f>IF(COUNT(G38:I38)&lt;3,"",SUM(G38:I38))</f>
        <v/>
      </c>
      <c r="AB38" s="26">
        <f>IF(COUNT(J38:K38)&lt;2,"",SUM(J38:K38))</f>
        <v/>
      </c>
      <c r="AC38" s="26">
        <f>IF(COUNT(L38:N38)&lt;3,"",SUM(L38:N38))</f>
        <v/>
      </c>
      <c r="AD38" s="26">
        <f>IF(COUNT(O38:P38)&lt;2,"",SUM(O38:P38))</f>
        <v/>
      </c>
    </row>
    <row r="39">
      <c r="A39" s="1" t="n"/>
      <c r="B39" s="9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" t="n"/>
      <c r="R39" s="23">
        <f>IF(COUNT(C39:F39)&lt;4,"",AVERAGE(C39:F39))</f>
        <v/>
      </c>
      <c r="S39" s="23">
        <f>IF(COUNT(G39:I39)&lt;3,"",AVERAGE(G39:I39))</f>
        <v/>
      </c>
      <c r="T39" s="23">
        <f>IF(COUNT(J39:K39)&lt;2,"",AVERAGE(J39:K39))</f>
        <v/>
      </c>
      <c r="U39" s="23">
        <f>IF(COUNT(L39:N39)&lt;3,"",AVERAGE(L39:N39))</f>
        <v/>
      </c>
      <c r="V39" s="23">
        <f>IF(COUNT(O39:P39)&lt;2,"",AVERAGE(O39:P39))</f>
        <v/>
      </c>
      <c r="W39" s="24">
        <f>IF(COUNT(R39:V39)&lt;5,"",AVERAGE(R39:V39))</f>
        <v/>
      </c>
      <c r="X39" s="25">
        <f>IF(W39="","",IF(W39&gt;=4.21,"Excellent",IF(W39&gt;=3.41,"Very good",IF(W39&gt;=2.61,"Good",IF(W39&gt;=1.81,"Fair","Poor")))))</f>
        <v/>
      </c>
      <c r="Y39" s="1" t="n"/>
      <c r="Z39" s="26">
        <f>IF(COUNT(C39:F39)&lt;4,"",SUM(C39:F39))</f>
        <v/>
      </c>
      <c r="AA39" s="26">
        <f>IF(COUNT(G39:I39)&lt;3,"",SUM(G39:I39))</f>
        <v/>
      </c>
      <c r="AB39" s="26">
        <f>IF(COUNT(J39:K39)&lt;2,"",SUM(J39:K39))</f>
        <v/>
      </c>
      <c r="AC39" s="26">
        <f>IF(COUNT(L39:N39)&lt;3,"",SUM(L39:N39))</f>
        <v/>
      </c>
      <c r="AD39" s="26">
        <f>IF(COUNT(O39:P39)&lt;2,"",SUM(O39:P39))</f>
        <v/>
      </c>
    </row>
    <row r="40">
      <c r="A40" s="1" t="n"/>
      <c r="B40" s="9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" t="n"/>
      <c r="R40" s="23">
        <f>IF(COUNT(C40:F40)&lt;4,"",AVERAGE(C40:F40))</f>
        <v/>
      </c>
      <c r="S40" s="23">
        <f>IF(COUNT(G40:I40)&lt;3,"",AVERAGE(G40:I40))</f>
        <v/>
      </c>
      <c r="T40" s="23">
        <f>IF(COUNT(J40:K40)&lt;2,"",AVERAGE(J40:K40))</f>
        <v/>
      </c>
      <c r="U40" s="23">
        <f>IF(COUNT(L40:N40)&lt;3,"",AVERAGE(L40:N40))</f>
        <v/>
      </c>
      <c r="V40" s="23">
        <f>IF(COUNT(O40:P40)&lt;2,"",AVERAGE(O40:P40))</f>
        <v/>
      </c>
      <c r="W40" s="24">
        <f>IF(COUNT(R40:V40)&lt;5,"",AVERAGE(R40:V40))</f>
        <v/>
      </c>
      <c r="X40" s="25">
        <f>IF(W40="","",IF(W40&gt;=4.21,"Excellent",IF(W40&gt;=3.41,"Very good",IF(W40&gt;=2.61,"Good",IF(W40&gt;=1.81,"Fair","Poor")))))</f>
        <v/>
      </c>
      <c r="Y40" s="1" t="n"/>
      <c r="Z40" s="26">
        <f>IF(COUNT(C40:F40)&lt;4,"",SUM(C40:F40))</f>
        <v/>
      </c>
      <c r="AA40" s="26">
        <f>IF(COUNT(G40:I40)&lt;3,"",SUM(G40:I40))</f>
        <v/>
      </c>
      <c r="AB40" s="26">
        <f>IF(COUNT(J40:K40)&lt;2,"",SUM(J40:K40))</f>
        <v/>
      </c>
      <c r="AC40" s="26">
        <f>IF(COUNT(L40:N40)&lt;3,"",SUM(L40:N40))</f>
        <v/>
      </c>
      <c r="AD40" s="26">
        <f>IF(COUNT(O40:P40)&lt;2,"",SUM(O40:P40))</f>
        <v/>
      </c>
    </row>
    <row r="41">
      <c r="A41" s="1" t="n"/>
      <c r="B41" s="9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" t="n"/>
      <c r="R41" s="23">
        <f>IF(COUNT(C41:F41)&lt;4,"",AVERAGE(C41:F41))</f>
        <v/>
      </c>
      <c r="S41" s="23">
        <f>IF(COUNT(G41:I41)&lt;3,"",AVERAGE(G41:I41))</f>
        <v/>
      </c>
      <c r="T41" s="23">
        <f>IF(COUNT(J41:K41)&lt;2,"",AVERAGE(J41:K41))</f>
        <v/>
      </c>
      <c r="U41" s="23">
        <f>IF(COUNT(L41:N41)&lt;3,"",AVERAGE(L41:N41))</f>
        <v/>
      </c>
      <c r="V41" s="23">
        <f>IF(COUNT(O41:P41)&lt;2,"",AVERAGE(O41:P41))</f>
        <v/>
      </c>
      <c r="W41" s="24">
        <f>IF(COUNT(R41:V41)&lt;5,"",AVERAGE(R41:V41))</f>
        <v/>
      </c>
      <c r="X41" s="25">
        <f>IF(W41="","",IF(W41&gt;=4.21,"Excellent",IF(W41&gt;=3.41,"Very good",IF(W41&gt;=2.61,"Good",IF(W41&gt;=1.81,"Fair","Poor")))))</f>
        <v/>
      </c>
      <c r="Y41" s="1" t="n"/>
      <c r="Z41" s="26">
        <f>IF(COUNT(C41:F41)&lt;4,"",SUM(C41:F41))</f>
        <v/>
      </c>
      <c r="AA41" s="26">
        <f>IF(COUNT(G41:I41)&lt;3,"",SUM(G41:I41))</f>
        <v/>
      </c>
      <c r="AB41" s="26">
        <f>IF(COUNT(J41:K41)&lt;2,"",SUM(J41:K41))</f>
        <v/>
      </c>
      <c r="AC41" s="26">
        <f>IF(COUNT(L41:N41)&lt;3,"",SUM(L41:N41))</f>
        <v/>
      </c>
      <c r="AD41" s="26">
        <f>IF(COUNT(O41:P41)&lt;2,"",SUM(O41:P41))</f>
        <v/>
      </c>
    </row>
    <row r="42">
      <c r="A42" s="1" t="n"/>
      <c r="B42" s="9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" t="n"/>
      <c r="R42" s="23">
        <f>IF(COUNT(C42:F42)&lt;4,"",AVERAGE(C42:F42))</f>
        <v/>
      </c>
      <c r="S42" s="23">
        <f>IF(COUNT(G42:I42)&lt;3,"",AVERAGE(G42:I42))</f>
        <v/>
      </c>
      <c r="T42" s="23">
        <f>IF(COUNT(J42:K42)&lt;2,"",AVERAGE(J42:K42))</f>
        <v/>
      </c>
      <c r="U42" s="23">
        <f>IF(COUNT(L42:N42)&lt;3,"",AVERAGE(L42:N42))</f>
        <v/>
      </c>
      <c r="V42" s="23">
        <f>IF(COUNT(O42:P42)&lt;2,"",AVERAGE(O42:P42))</f>
        <v/>
      </c>
      <c r="W42" s="24">
        <f>IF(COUNT(R42:V42)&lt;5,"",AVERAGE(R42:V42))</f>
        <v/>
      </c>
      <c r="X42" s="25">
        <f>IF(W42="","",IF(W42&gt;=4.21,"Excellent",IF(W42&gt;=3.41,"Very good",IF(W42&gt;=2.61,"Good",IF(W42&gt;=1.81,"Fair","Poor")))))</f>
        <v/>
      </c>
      <c r="Y42" s="1" t="n"/>
      <c r="Z42" s="26">
        <f>IF(COUNT(C42:F42)&lt;4,"",SUM(C42:F42))</f>
        <v/>
      </c>
      <c r="AA42" s="26">
        <f>IF(COUNT(G42:I42)&lt;3,"",SUM(G42:I42))</f>
        <v/>
      </c>
      <c r="AB42" s="26">
        <f>IF(COUNT(J42:K42)&lt;2,"",SUM(J42:K42))</f>
        <v/>
      </c>
      <c r="AC42" s="26">
        <f>IF(COUNT(L42:N42)&lt;3,"",SUM(L42:N42))</f>
        <v/>
      </c>
      <c r="AD42" s="26">
        <f>IF(COUNT(O42:P42)&lt;2,"",SUM(O42:P42))</f>
        <v/>
      </c>
    </row>
    <row r="43">
      <c r="A43" s="1" t="n"/>
      <c r="B43" s="9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" t="n"/>
      <c r="R43" s="23">
        <f>IF(COUNT(C43:F43)&lt;4,"",AVERAGE(C43:F43))</f>
        <v/>
      </c>
      <c r="S43" s="23">
        <f>IF(COUNT(G43:I43)&lt;3,"",AVERAGE(G43:I43))</f>
        <v/>
      </c>
      <c r="T43" s="23">
        <f>IF(COUNT(J43:K43)&lt;2,"",AVERAGE(J43:K43))</f>
        <v/>
      </c>
      <c r="U43" s="23">
        <f>IF(COUNT(L43:N43)&lt;3,"",AVERAGE(L43:N43))</f>
        <v/>
      </c>
      <c r="V43" s="23">
        <f>IF(COUNT(O43:P43)&lt;2,"",AVERAGE(O43:P43))</f>
        <v/>
      </c>
      <c r="W43" s="24">
        <f>IF(COUNT(R43:V43)&lt;5,"",AVERAGE(R43:V43))</f>
        <v/>
      </c>
      <c r="X43" s="25">
        <f>IF(W43="","",IF(W43&gt;=4.21,"Excellent",IF(W43&gt;=3.41,"Very good",IF(W43&gt;=2.61,"Good",IF(W43&gt;=1.81,"Fair","Poor")))))</f>
        <v/>
      </c>
      <c r="Y43" s="1" t="n"/>
      <c r="Z43" s="26">
        <f>IF(COUNT(C43:F43)&lt;4,"",SUM(C43:F43))</f>
        <v/>
      </c>
      <c r="AA43" s="26">
        <f>IF(COUNT(G43:I43)&lt;3,"",SUM(G43:I43))</f>
        <v/>
      </c>
      <c r="AB43" s="26">
        <f>IF(COUNT(J43:K43)&lt;2,"",SUM(J43:K43))</f>
        <v/>
      </c>
      <c r="AC43" s="26">
        <f>IF(COUNT(L43:N43)&lt;3,"",SUM(L43:N43))</f>
        <v/>
      </c>
      <c r="AD43" s="26">
        <f>IF(COUNT(O43:P43)&lt;2,"",SUM(O43:P43))</f>
        <v/>
      </c>
    </row>
    <row r="44">
      <c r="A44" s="1" t="n"/>
      <c r="B44" s="9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" t="n"/>
      <c r="R44" s="23">
        <f>IF(COUNT(C44:F44)&lt;4,"",AVERAGE(C44:F44))</f>
        <v/>
      </c>
      <c r="S44" s="23">
        <f>IF(COUNT(G44:I44)&lt;3,"",AVERAGE(G44:I44))</f>
        <v/>
      </c>
      <c r="T44" s="23">
        <f>IF(COUNT(J44:K44)&lt;2,"",AVERAGE(J44:K44))</f>
        <v/>
      </c>
      <c r="U44" s="23">
        <f>IF(COUNT(L44:N44)&lt;3,"",AVERAGE(L44:N44))</f>
        <v/>
      </c>
      <c r="V44" s="23">
        <f>IF(COUNT(O44:P44)&lt;2,"",AVERAGE(O44:P44))</f>
        <v/>
      </c>
      <c r="W44" s="24">
        <f>IF(COUNT(R44:V44)&lt;5,"",AVERAGE(R44:V44))</f>
        <v/>
      </c>
      <c r="X44" s="25">
        <f>IF(W44="","",IF(W44&gt;=4.21,"Excellent",IF(W44&gt;=3.41,"Very good",IF(W44&gt;=2.61,"Good",IF(W44&gt;=1.81,"Fair","Poor")))))</f>
        <v/>
      </c>
      <c r="Y44" s="1" t="n"/>
      <c r="Z44" s="26">
        <f>IF(COUNT(C44:F44)&lt;4,"",SUM(C44:F44))</f>
        <v/>
      </c>
      <c r="AA44" s="26">
        <f>IF(COUNT(G44:I44)&lt;3,"",SUM(G44:I44))</f>
        <v/>
      </c>
      <c r="AB44" s="26">
        <f>IF(COUNT(J44:K44)&lt;2,"",SUM(J44:K44))</f>
        <v/>
      </c>
      <c r="AC44" s="26">
        <f>IF(COUNT(L44:N44)&lt;3,"",SUM(L44:N44))</f>
        <v/>
      </c>
      <c r="AD44" s="26">
        <f>IF(COUNT(O44:P44)&lt;2,"",SUM(O44:P44))</f>
        <v/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3" t="inlineStr">
        <is>
          <t>Item variance (for alpha)</t>
        </is>
      </c>
      <c r="C46" s="27">
        <f>IF(COUNT(C5:C44)&lt;3,"",VAR(C5:C44))</f>
        <v/>
      </c>
      <c r="D46" s="27">
        <f>IF(COUNT(D5:D44)&lt;3,"",VAR(D5:D44))</f>
        <v/>
      </c>
      <c r="E46" s="27">
        <f>IF(COUNT(E5:E44)&lt;3,"",VAR(E5:E44))</f>
        <v/>
      </c>
      <c r="F46" s="27">
        <f>IF(COUNT(F5:F44)&lt;3,"",VAR(F5:F44))</f>
        <v/>
      </c>
      <c r="G46" s="27">
        <f>IF(COUNT(G5:G44)&lt;3,"",VAR(G5:G44))</f>
        <v/>
      </c>
      <c r="H46" s="27">
        <f>IF(COUNT(H5:H44)&lt;3,"",VAR(H5:H44))</f>
        <v/>
      </c>
      <c r="I46" s="27">
        <f>IF(COUNT(I5:I44)&lt;3,"",VAR(I5:I44))</f>
        <v/>
      </c>
      <c r="J46" s="27">
        <f>IF(COUNT(J5:J44)&lt;3,"",VAR(J5:J44))</f>
        <v/>
      </c>
      <c r="K46" s="27">
        <f>IF(COUNT(K5:K44)&lt;3,"",VAR(K5:K44))</f>
        <v/>
      </c>
      <c r="L46" s="27">
        <f>IF(COUNT(L5:L44)&lt;3,"",VAR(L5:L44))</f>
        <v/>
      </c>
      <c r="M46" s="27">
        <f>IF(COUNT(M5:M44)&lt;3,"",VAR(M5:M44))</f>
        <v/>
      </c>
      <c r="N46" s="27">
        <f>IF(COUNT(N5:N44)&lt;3,"",VAR(N5:N44))</f>
        <v/>
      </c>
      <c r="O46" s="27">
        <f>IF(COUNT(O5:O44)&lt;3,"",VAR(O5:O44))</f>
        <v/>
      </c>
      <c r="P46" s="27">
        <f>IF(COUNT(P5:P44)&lt;3,"",VAR(P5:P44))</f>
        <v/>
      </c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5" t="inlineStr">
        <is>
          <t>SUMMARY BY CHARACTERISTIC</t>
        </is>
      </c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9" t="inlineStr">
        <is>
          <t>Characteristic</t>
        </is>
      </c>
      <c r="C49" s="19" t="inlineStr">
        <is>
          <t>Items</t>
        </is>
      </c>
      <c r="D49" s="19" t="inlineStr">
        <is>
          <t>Mean</t>
        </is>
      </c>
      <c r="E49" s="19" t="inlineStr">
        <is>
          <t>Interpretation</t>
        </is>
      </c>
      <c r="F49" s="19" t="inlineStr">
        <is>
          <t>Cronbach's alpha</t>
        </is>
      </c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21" t="inlineStr">
        <is>
          <t>Functional Suitability</t>
        </is>
      </c>
      <c r="C50" s="28" t="n">
        <v>4</v>
      </c>
      <c r="D50" s="29">
        <f>IF(COUNT(R5:R44)=0,"",AVERAGE(R5:R44))</f>
        <v/>
      </c>
      <c r="E50" s="30">
        <f>IF(D50="","",IF(D50&gt;=4.21,"Excellent",IF(D50&gt;=3.41,"Very good",IF(D50&gt;=2.61,"Good",IF(D50&gt;=1.81,"Fair","Poor")))))</f>
        <v/>
      </c>
      <c r="F50" s="29">
        <f>IF(COUNT(Z5:Z44)&lt;3,"",(4/3)*(1-SUM(C46:F46)/VAR(Z5:Z44)))</f>
        <v/>
      </c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21" t="inlineStr">
        <is>
          <t>Performance Efficiency</t>
        </is>
      </c>
      <c r="C51" s="28" t="n">
        <v>3</v>
      </c>
      <c r="D51" s="29">
        <f>IF(COUNT(S5:S44)=0,"",AVERAGE(S5:S44))</f>
        <v/>
      </c>
      <c r="E51" s="30">
        <f>IF(D51="","",IF(D51&gt;=4.21,"Excellent",IF(D51&gt;=3.41,"Very good",IF(D51&gt;=2.61,"Good",IF(D51&gt;=1.81,"Fair","Poor")))))</f>
        <v/>
      </c>
      <c r="F51" s="29">
        <f>IF(COUNT(AA5:AA44)&lt;3,"",(3/2)*(1-SUM(G46:I46)/VAR(AA5:AA44)))</f>
        <v/>
      </c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21" t="inlineStr">
        <is>
          <t>Compatibility</t>
        </is>
      </c>
      <c r="C52" s="28" t="n">
        <v>2</v>
      </c>
      <c r="D52" s="29">
        <f>IF(COUNT(T5:T44)=0,"",AVERAGE(T5:T44))</f>
        <v/>
      </c>
      <c r="E52" s="30">
        <f>IF(D52="","",IF(D52&gt;=4.21,"Excellent",IF(D52&gt;=3.41,"Very good",IF(D52&gt;=2.61,"Good",IF(D52&gt;=1.81,"Fair","Poor")))))</f>
        <v/>
      </c>
      <c r="F52" s="29">
        <f>IF(COUNT(AB5:AB44)&lt;3,"",(2/1)*(1-SUM(J46:K46)/VAR(AB5:AB44)))</f>
        <v/>
      </c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21" t="inlineStr">
        <is>
          <t>Reliability</t>
        </is>
      </c>
      <c r="C53" s="28" t="n">
        <v>3</v>
      </c>
      <c r="D53" s="29">
        <f>IF(COUNT(U5:U44)=0,"",AVERAGE(U5:U44))</f>
        <v/>
      </c>
      <c r="E53" s="30">
        <f>IF(D53="","",IF(D53&gt;=4.21,"Excellent",IF(D53&gt;=3.41,"Very good",IF(D53&gt;=2.61,"Good",IF(D53&gt;=1.81,"Fair","Poor")))))</f>
        <v/>
      </c>
      <c r="F53" s="29">
        <f>IF(COUNT(AC5:AC44)&lt;3,"",(3/2)*(1-SUM(L46:N46)/VAR(AC5:AC44)))</f>
        <v/>
      </c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21" t="inlineStr">
        <is>
          <t>Security</t>
        </is>
      </c>
      <c r="C54" s="28" t="n">
        <v>2</v>
      </c>
      <c r="D54" s="29">
        <f>IF(COUNT(V5:V44)=0,"",AVERAGE(V5:V44))</f>
        <v/>
      </c>
      <c r="E54" s="30">
        <f>IF(D54="","",IF(D54&gt;=4.21,"Excellent",IF(D54&gt;=3.41,"Very good",IF(D54&gt;=2.61,"Good",IF(D54&gt;=1.81,"Fair","Poor")))))</f>
        <v/>
      </c>
      <c r="F54" s="29">
        <f>IF(COUNT(AD5:AD44)&lt;3,"",(2/1)*(1-SUM(O46:P46)/VAR(AD5:AD44)))</f>
        <v/>
      </c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6" t="inlineStr">
        <is>
          <t>GRAND MEAN</t>
        </is>
      </c>
      <c r="C55" s="13" t="inlineStr">
        <is>
          <t>n=40 rows</t>
        </is>
      </c>
      <c r="D55" s="31">
        <f>IF(COUNT(W5:W44)=0,"",AVERAGE(W5:W44))</f>
        <v/>
      </c>
      <c r="E55" s="16">
        <f>IF(D55="","",IF(D55&gt;=4.21,"Excellent",IF(D55&gt;=3.41,"Very good",IF(D55&gt;=2.61,"Good",IF(D55&gt;=1.81,"Fair","Poor")))))</f>
        <v/>
      </c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2" max="2"/>
    <col width="6" customWidth="1" min="3" max="3"/>
    <col width="6" customWidth="1" min="4" max="4"/>
    <col width="16" customWidth="1" min="5" max="5"/>
    <col width="15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13" customWidth="1" min="35" max="35"/>
    <col width="13" customWidth="1" min="36" max="36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</cols>
  <sheetData>
    <row r="1">
      <c r="A1" s="1" t="n"/>
      <c r="B1" s="5" t="inlineStr">
        <is>
          <t>ISO/IEC 25010:2011 — technical evaluators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>
      <c r="A2" s="1" t="n"/>
      <c r="B2" s="6" t="inlineStr">
        <is>
          <t>Enter responses 1-5 in the yellow cells. One respondent per row.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19" t="inlineStr">
        <is>
          <t>Respondent ID</t>
        </is>
      </c>
      <c r="C3" s="20" t="inlineStr">
        <is>
          <t>FS1</t>
        </is>
      </c>
      <c r="D3" s="20" t="inlineStr">
        <is>
          <t>FS2</t>
        </is>
      </c>
      <c r="E3" s="20" t="inlineStr">
        <is>
          <t>FS3</t>
        </is>
      </c>
      <c r="F3" s="20" t="inlineStr">
        <is>
          <t>FS4</t>
        </is>
      </c>
      <c r="G3" s="20" t="inlineStr">
        <is>
          <t>PE1</t>
        </is>
      </c>
      <c r="H3" s="20" t="inlineStr">
        <is>
          <t>PE2</t>
        </is>
      </c>
      <c r="I3" s="20" t="inlineStr">
        <is>
          <t>PE3</t>
        </is>
      </c>
      <c r="J3" s="20" t="inlineStr">
        <is>
          <t>CO1</t>
        </is>
      </c>
      <c r="K3" s="20" t="inlineStr">
        <is>
          <t>CO2</t>
        </is>
      </c>
      <c r="L3" s="20" t="inlineStr">
        <is>
          <t>CO3</t>
        </is>
      </c>
      <c r="M3" s="20" t="inlineStr">
        <is>
          <t>RE1</t>
        </is>
      </c>
      <c r="N3" s="20" t="inlineStr">
        <is>
          <t>RE2</t>
        </is>
      </c>
      <c r="O3" s="20" t="inlineStr">
        <is>
          <t>RE3</t>
        </is>
      </c>
      <c r="P3" s="20" t="inlineStr">
        <is>
          <t>SE1</t>
        </is>
      </c>
      <c r="Q3" s="20" t="inlineStr">
        <is>
          <t>SE2</t>
        </is>
      </c>
      <c r="R3" s="20" t="inlineStr">
        <is>
          <t>SE3</t>
        </is>
      </c>
      <c r="S3" s="20" t="inlineStr">
        <is>
          <t>SE4</t>
        </is>
      </c>
      <c r="T3" s="20" t="inlineStr">
        <is>
          <t>MA1</t>
        </is>
      </c>
      <c r="U3" s="20" t="inlineStr">
        <is>
          <t>MA2</t>
        </is>
      </c>
      <c r="V3" s="20" t="inlineStr">
        <is>
          <t>MA3</t>
        </is>
      </c>
      <c r="W3" s="20" t="inlineStr">
        <is>
          <t>MA4</t>
        </is>
      </c>
      <c r="X3" s="20" t="inlineStr">
        <is>
          <t>PO1</t>
        </is>
      </c>
      <c r="Y3" s="20" t="inlineStr">
        <is>
          <t>PO2</t>
        </is>
      </c>
      <c r="Z3" s="20" t="inlineStr">
        <is>
          <t>PO3</t>
        </is>
      </c>
      <c r="AA3" s="1" t="n"/>
      <c r="AB3" s="7" t="inlineStr">
        <is>
          <t>FS mean</t>
        </is>
      </c>
      <c r="AC3" s="7" t="inlineStr">
        <is>
          <t>PE mean</t>
        </is>
      </c>
      <c r="AD3" s="7" t="inlineStr">
        <is>
          <t>CO mean</t>
        </is>
      </c>
      <c r="AE3" s="7" t="inlineStr">
        <is>
          <t>RE mean</t>
        </is>
      </c>
      <c r="AF3" s="7" t="inlineStr">
        <is>
          <t>SE mean</t>
        </is>
      </c>
      <c r="AG3" s="7" t="inlineStr">
        <is>
          <t>MA mean</t>
        </is>
      </c>
      <c r="AH3" s="7" t="inlineStr">
        <is>
          <t>PO mean</t>
        </is>
      </c>
      <c r="AI3" s="7" t="inlineStr">
        <is>
          <t>Grand mean</t>
        </is>
      </c>
      <c r="AJ3" s="7" t="inlineStr">
        <is>
          <t>Band</t>
        </is>
      </c>
      <c r="AK3" s="21" t="inlineStr"/>
      <c r="AL3" s="7" t="inlineStr">
        <is>
          <t>FS total</t>
        </is>
      </c>
      <c r="AM3" s="7" t="inlineStr">
        <is>
          <t>PE total</t>
        </is>
      </c>
      <c r="AN3" s="7" t="inlineStr">
        <is>
          <t>CO total</t>
        </is>
      </c>
      <c r="AO3" s="7" t="inlineStr">
        <is>
          <t>RE total</t>
        </is>
      </c>
      <c r="AP3" s="7" t="inlineStr">
        <is>
          <t>SE total</t>
        </is>
      </c>
      <c r="AQ3" s="7" t="inlineStr">
        <is>
          <t>MA total</t>
        </is>
      </c>
      <c r="AR3" s="7" t="inlineStr">
        <is>
          <t>PO total</t>
        </is>
      </c>
    </row>
    <row r="4">
      <c r="A4" s="1" t="n"/>
      <c r="B4" s="22" t="inlineStr">
        <is>
          <t>SAMPLE (not counted)</t>
        </is>
      </c>
      <c r="C4" s="10" t="n">
        <v>4</v>
      </c>
      <c r="D4" s="10" t="n">
        <v>5</v>
      </c>
      <c r="E4" s="10" t="n">
        <v>4</v>
      </c>
      <c r="F4" s="10" t="n">
        <v>4</v>
      </c>
      <c r="G4" s="10" t="n">
        <v>4</v>
      </c>
      <c r="H4" s="10" t="n">
        <v>3</v>
      </c>
      <c r="I4" s="10" t="n">
        <v>4</v>
      </c>
      <c r="J4" s="10" t="n">
        <v>5</v>
      </c>
      <c r="K4" s="10" t="n">
        <v>4</v>
      </c>
      <c r="L4" s="10" t="n">
        <v>4</v>
      </c>
      <c r="M4" s="10" t="n">
        <v>4</v>
      </c>
      <c r="N4" s="10" t="n">
        <v>3</v>
      </c>
      <c r="O4" s="10" t="n">
        <v>5</v>
      </c>
      <c r="P4" s="10" t="n">
        <v>4</v>
      </c>
      <c r="Q4" s="10" t="n">
        <v>4</v>
      </c>
      <c r="R4" s="10" t="n">
        <v>4</v>
      </c>
      <c r="S4" s="10" t="n">
        <v>4</v>
      </c>
      <c r="T4" s="10" t="n">
        <v>3</v>
      </c>
      <c r="U4" s="10" t="n">
        <v>4</v>
      </c>
      <c r="V4" s="10" t="n">
        <v>4</v>
      </c>
      <c r="W4" s="10" t="n">
        <v>4</v>
      </c>
      <c r="X4" s="10" t="n">
        <v>5</v>
      </c>
      <c r="Y4" s="10" t="n">
        <v>4</v>
      </c>
      <c r="Z4" s="10" t="n">
        <v>4</v>
      </c>
      <c r="AA4" s="1" t="n"/>
      <c r="AB4" s="23">
        <f>IF(COUNT(C4:F4)&lt;4,"",AVERAGE(C4:F4))</f>
        <v/>
      </c>
      <c r="AC4" s="23">
        <f>IF(COUNT(G4:I4)&lt;3,"",AVERAGE(G4:I4))</f>
        <v/>
      </c>
      <c r="AD4" s="23">
        <f>IF(COUNT(J4:L4)&lt;3,"",AVERAGE(J4:L4))</f>
        <v/>
      </c>
      <c r="AE4" s="23">
        <f>IF(COUNT(M4:O4)&lt;3,"",AVERAGE(M4:O4))</f>
        <v/>
      </c>
      <c r="AF4" s="23">
        <f>IF(COUNT(P4:S4)&lt;4,"",AVERAGE(P4:S4))</f>
        <v/>
      </c>
      <c r="AG4" s="23">
        <f>IF(COUNT(T4:W4)&lt;4,"",AVERAGE(T4:W4))</f>
        <v/>
      </c>
      <c r="AH4" s="23">
        <f>IF(COUNT(X4:Z4)&lt;3,"",AVERAGE(X4:Z4))</f>
        <v/>
      </c>
      <c r="AI4" s="24">
        <f>IF(COUNT(AB4:AH4)&lt;7,"",AVERAGE(AB4:AH4))</f>
        <v/>
      </c>
      <c r="AJ4" s="25">
        <f>IF(AI4="","",IF(AI4&gt;=4.21,"Excellent",IF(AI4&gt;=3.41,"Very good",IF(AI4&gt;=2.61,"Good",IF(AI4&gt;=1.81,"Fair","Poor")))))</f>
        <v/>
      </c>
      <c r="AK4" s="1" t="n"/>
      <c r="AL4" s="1" t="n"/>
      <c r="AM4" s="1" t="n"/>
      <c r="AN4" s="1" t="n"/>
      <c r="AO4" s="1" t="n"/>
      <c r="AP4" s="1" t="n"/>
      <c r="AQ4" s="1" t="n"/>
      <c r="AR4" s="1" t="n"/>
    </row>
    <row r="5">
      <c r="A5" s="1" t="n"/>
      <c r="B5" s="9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" t="n"/>
      <c r="AB5" s="23">
        <f>IF(COUNT(C5:F5)&lt;4,"",AVERAGE(C5:F5))</f>
        <v/>
      </c>
      <c r="AC5" s="23">
        <f>IF(COUNT(G5:I5)&lt;3,"",AVERAGE(G5:I5))</f>
        <v/>
      </c>
      <c r="AD5" s="23">
        <f>IF(COUNT(J5:L5)&lt;3,"",AVERAGE(J5:L5))</f>
        <v/>
      </c>
      <c r="AE5" s="23">
        <f>IF(COUNT(M5:O5)&lt;3,"",AVERAGE(M5:O5))</f>
        <v/>
      </c>
      <c r="AF5" s="23">
        <f>IF(COUNT(P5:S5)&lt;4,"",AVERAGE(P5:S5))</f>
        <v/>
      </c>
      <c r="AG5" s="23">
        <f>IF(COUNT(T5:W5)&lt;4,"",AVERAGE(T5:W5))</f>
        <v/>
      </c>
      <c r="AH5" s="23">
        <f>IF(COUNT(X5:Z5)&lt;3,"",AVERAGE(X5:Z5))</f>
        <v/>
      </c>
      <c r="AI5" s="24">
        <f>IF(COUNT(AB5:AH5)&lt;7,"",AVERAGE(AB5:AH5))</f>
        <v/>
      </c>
      <c r="AJ5" s="25">
        <f>IF(AI5="","",IF(AI5&gt;=4.21,"Excellent",IF(AI5&gt;=3.41,"Very good",IF(AI5&gt;=2.61,"Good",IF(AI5&gt;=1.81,"Fair","Poor")))))</f>
        <v/>
      </c>
      <c r="AK5" s="1" t="n"/>
      <c r="AL5" s="26">
        <f>IF(COUNT(C5:F5)&lt;4,"",SUM(C5:F5))</f>
        <v/>
      </c>
      <c r="AM5" s="26">
        <f>IF(COUNT(G5:I5)&lt;3,"",SUM(G5:I5))</f>
        <v/>
      </c>
      <c r="AN5" s="26">
        <f>IF(COUNT(J5:L5)&lt;3,"",SUM(J5:L5))</f>
        <v/>
      </c>
      <c r="AO5" s="26">
        <f>IF(COUNT(M5:O5)&lt;3,"",SUM(M5:O5))</f>
        <v/>
      </c>
      <c r="AP5" s="26">
        <f>IF(COUNT(P5:S5)&lt;4,"",SUM(P5:S5))</f>
        <v/>
      </c>
      <c r="AQ5" s="26">
        <f>IF(COUNT(T5:W5)&lt;4,"",SUM(T5:W5))</f>
        <v/>
      </c>
      <c r="AR5" s="26">
        <f>IF(COUNT(X5:Z5)&lt;3,"",SUM(X5:Z5))</f>
        <v/>
      </c>
    </row>
    <row r="6">
      <c r="A6" s="1" t="n"/>
      <c r="B6" s="9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" t="n"/>
      <c r="AB6" s="23">
        <f>IF(COUNT(C6:F6)&lt;4,"",AVERAGE(C6:F6))</f>
        <v/>
      </c>
      <c r="AC6" s="23">
        <f>IF(COUNT(G6:I6)&lt;3,"",AVERAGE(G6:I6))</f>
        <v/>
      </c>
      <c r="AD6" s="23">
        <f>IF(COUNT(J6:L6)&lt;3,"",AVERAGE(J6:L6))</f>
        <v/>
      </c>
      <c r="AE6" s="23">
        <f>IF(COUNT(M6:O6)&lt;3,"",AVERAGE(M6:O6))</f>
        <v/>
      </c>
      <c r="AF6" s="23">
        <f>IF(COUNT(P6:S6)&lt;4,"",AVERAGE(P6:S6))</f>
        <v/>
      </c>
      <c r="AG6" s="23">
        <f>IF(COUNT(T6:W6)&lt;4,"",AVERAGE(T6:W6))</f>
        <v/>
      </c>
      <c r="AH6" s="23">
        <f>IF(COUNT(X6:Z6)&lt;3,"",AVERAGE(X6:Z6))</f>
        <v/>
      </c>
      <c r="AI6" s="24">
        <f>IF(COUNT(AB6:AH6)&lt;7,"",AVERAGE(AB6:AH6))</f>
        <v/>
      </c>
      <c r="AJ6" s="25">
        <f>IF(AI6="","",IF(AI6&gt;=4.21,"Excellent",IF(AI6&gt;=3.41,"Very good",IF(AI6&gt;=2.61,"Good",IF(AI6&gt;=1.81,"Fair","Poor")))))</f>
        <v/>
      </c>
      <c r="AK6" s="1" t="n"/>
      <c r="AL6" s="26">
        <f>IF(COUNT(C6:F6)&lt;4,"",SUM(C6:F6))</f>
        <v/>
      </c>
      <c r="AM6" s="26">
        <f>IF(COUNT(G6:I6)&lt;3,"",SUM(G6:I6))</f>
        <v/>
      </c>
      <c r="AN6" s="26">
        <f>IF(COUNT(J6:L6)&lt;3,"",SUM(J6:L6))</f>
        <v/>
      </c>
      <c r="AO6" s="26">
        <f>IF(COUNT(M6:O6)&lt;3,"",SUM(M6:O6))</f>
        <v/>
      </c>
      <c r="AP6" s="26">
        <f>IF(COUNT(P6:S6)&lt;4,"",SUM(P6:S6))</f>
        <v/>
      </c>
      <c r="AQ6" s="26">
        <f>IF(COUNT(T6:W6)&lt;4,"",SUM(T6:W6))</f>
        <v/>
      </c>
      <c r="AR6" s="26">
        <f>IF(COUNT(X6:Z6)&lt;3,"",SUM(X6:Z6))</f>
        <v/>
      </c>
    </row>
    <row r="7">
      <c r="A7" s="1" t="n"/>
      <c r="B7" s="9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" t="n"/>
      <c r="AB7" s="23">
        <f>IF(COUNT(C7:F7)&lt;4,"",AVERAGE(C7:F7))</f>
        <v/>
      </c>
      <c r="AC7" s="23">
        <f>IF(COUNT(G7:I7)&lt;3,"",AVERAGE(G7:I7))</f>
        <v/>
      </c>
      <c r="AD7" s="23">
        <f>IF(COUNT(J7:L7)&lt;3,"",AVERAGE(J7:L7))</f>
        <v/>
      </c>
      <c r="AE7" s="23">
        <f>IF(COUNT(M7:O7)&lt;3,"",AVERAGE(M7:O7))</f>
        <v/>
      </c>
      <c r="AF7" s="23">
        <f>IF(COUNT(P7:S7)&lt;4,"",AVERAGE(P7:S7))</f>
        <v/>
      </c>
      <c r="AG7" s="23">
        <f>IF(COUNT(T7:W7)&lt;4,"",AVERAGE(T7:W7))</f>
        <v/>
      </c>
      <c r="AH7" s="23">
        <f>IF(COUNT(X7:Z7)&lt;3,"",AVERAGE(X7:Z7))</f>
        <v/>
      </c>
      <c r="AI7" s="24">
        <f>IF(COUNT(AB7:AH7)&lt;7,"",AVERAGE(AB7:AH7))</f>
        <v/>
      </c>
      <c r="AJ7" s="25">
        <f>IF(AI7="","",IF(AI7&gt;=4.21,"Excellent",IF(AI7&gt;=3.41,"Very good",IF(AI7&gt;=2.61,"Good",IF(AI7&gt;=1.81,"Fair","Poor")))))</f>
        <v/>
      </c>
      <c r="AK7" s="1" t="n"/>
      <c r="AL7" s="26">
        <f>IF(COUNT(C7:F7)&lt;4,"",SUM(C7:F7))</f>
        <v/>
      </c>
      <c r="AM7" s="26">
        <f>IF(COUNT(G7:I7)&lt;3,"",SUM(G7:I7))</f>
        <v/>
      </c>
      <c r="AN7" s="26">
        <f>IF(COUNT(J7:L7)&lt;3,"",SUM(J7:L7))</f>
        <v/>
      </c>
      <c r="AO7" s="26">
        <f>IF(COUNT(M7:O7)&lt;3,"",SUM(M7:O7))</f>
        <v/>
      </c>
      <c r="AP7" s="26">
        <f>IF(COUNT(P7:S7)&lt;4,"",SUM(P7:S7))</f>
        <v/>
      </c>
      <c r="AQ7" s="26">
        <f>IF(COUNT(T7:W7)&lt;4,"",SUM(T7:W7))</f>
        <v/>
      </c>
      <c r="AR7" s="26">
        <f>IF(COUNT(X7:Z7)&lt;3,"",SUM(X7:Z7))</f>
        <v/>
      </c>
    </row>
    <row r="8">
      <c r="A8" s="1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  <c r="V8" s="10" t="n"/>
      <c r="W8" s="10" t="n"/>
      <c r="X8" s="10" t="n"/>
      <c r="Y8" s="10" t="n"/>
      <c r="Z8" s="10" t="n"/>
      <c r="AA8" s="1" t="n"/>
      <c r="AB8" s="23">
        <f>IF(COUNT(C8:F8)&lt;4,"",AVERAGE(C8:F8))</f>
        <v/>
      </c>
      <c r="AC8" s="23">
        <f>IF(COUNT(G8:I8)&lt;3,"",AVERAGE(G8:I8))</f>
        <v/>
      </c>
      <c r="AD8" s="23">
        <f>IF(COUNT(J8:L8)&lt;3,"",AVERAGE(J8:L8))</f>
        <v/>
      </c>
      <c r="AE8" s="23">
        <f>IF(COUNT(M8:O8)&lt;3,"",AVERAGE(M8:O8))</f>
        <v/>
      </c>
      <c r="AF8" s="23">
        <f>IF(COUNT(P8:S8)&lt;4,"",AVERAGE(P8:S8))</f>
        <v/>
      </c>
      <c r="AG8" s="23">
        <f>IF(COUNT(T8:W8)&lt;4,"",AVERAGE(T8:W8))</f>
        <v/>
      </c>
      <c r="AH8" s="23">
        <f>IF(COUNT(X8:Z8)&lt;3,"",AVERAGE(X8:Z8))</f>
        <v/>
      </c>
      <c r="AI8" s="24">
        <f>IF(COUNT(AB8:AH8)&lt;7,"",AVERAGE(AB8:AH8))</f>
        <v/>
      </c>
      <c r="AJ8" s="25">
        <f>IF(AI8="","",IF(AI8&gt;=4.21,"Excellent",IF(AI8&gt;=3.41,"Very good",IF(AI8&gt;=2.61,"Good",IF(AI8&gt;=1.81,"Fair","Poor")))))</f>
        <v/>
      </c>
      <c r="AK8" s="1" t="n"/>
      <c r="AL8" s="26">
        <f>IF(COUNT(C8:F8)&lt;4,"",SUM(C8:F8))</f>
        <v/>
      </c>
      <c r="AM8" s="26">
        <f>IF(COUNT(G8:I8)&lt;3,"",SUM(G8:I8))</f>
        <v/>
      </c>
      <c r="AN8" s="26">
        <f>IF(COUNT(J8:L8)&lt;3,"",SUM(J8:L8))</f>
        <v/>
      </c>
      <c r="AO8" s="26">
        <f>IF(COUNT(M8:O8)&lt;3,"",SUM(M8:O8))</f>
        <v/>
      </c>
      <c r="AP8" s="26">
        <f>IF(COUNT(P8:S8)&lt;4,"",SUM(P8:S8))</f>
        <v/>
      </c>
      <c r="AQ8" s="26">
        <f>IF(COUNT(T8:W8)&lt;4,"",SUM(T8:W8))</f>
        <v/>
      </c>
      <c r="AR8" s="26">
        <f>IF(COUNT(X8:Z8)&lt;3,"",SUM(X8:Z8))</f>
        <v/>
      </c>
    </row>
    <row r="9">
      <c r="A9" s="1" t="n"/>
      <c r="B9" s="9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" t="n"/>
      <c r="AB9" s="23">
        <f>IF(COUNT(C9:F9)&lt;4,"",AVERAGE(C9:F9))</f>
        <v/>
      </c>
      <c r="AC9" s="23">
        <f>IF(COUNT(G9:I9)&lt;3,"",AVERAGE(G9:I9))</f>
        <v/>
      </c>
      <c r="AD9" s="23">
        <f>IF(COUNT(J9:L9)&lt;3,"",AVERAGE(J9:L9))</f>
        <v/>
      </c>
      <c r="AE9" s="23">
        <f>IF(COUNT(M9:O9)&lt;3,"",AVERAGE(M9:O9))</f>
        <v/>
      </c>
      <c r="AF9" s="23">
        <f>IF(COUNT(P9:S9)&lt;4,"",AVERAGE(P9:S9))</f>
        <v/>
      </c>
      <c r="AG9" s="23">
        <f>IF(COUNT(T9:W9)&lt;4,"",AVERAGE(T9:W9))</f>
        <v/>
      </c>
      <c r="AH9" s="23">
        <f>IF(COUNT(X9:Z9)&lt;3,"",AVERAGE(X9:Z9))</f>
        <v/>
      </c>
      <c r="AI9" s="24">
        <f>IF(COUNT(AB9:AH9)&lt;7,"",AVERAGE(AB9:AH9))</f>
        <v/>
      </c>
      <c r="AJ9" s="25">
        <f>IF(AI9="","",IF(AI9&gt;=4.21,"Excellent",IF(AI9&gt;=3.41,"Very good",IF(AI9&gt;=2.61,"Good",IF(AI9&gt;=1.81,"Fair","Poor")))))</f>
        <v/>
      </c>
      <c r="AK9" s="1" t="n"/>
      <c r="AL9" s="26">
        <f>IF(COUNT(C9:F9)&lt;4,"",SUM(C9:F9))</f>
        <v/>
      </c>
      <c r="AM9" s="26">
        <f>IF(COUNT(G9:I9)&lt;3,"",SUM(G9:I9))</f>
        <v/>
      </c>
      <c r="AN9" s="26">
        <f>IF(COUNT(J9:L9)&lt;3,"",SUM(J9:L9))</f>
        <v/>
      </c>
      <c r="AO9" s="26">
        <f>IF(COUNT(M9:O9)&lt;3,"",SUM(M9:O9))</f>
        <v/>
      </c>
      <c r="AP9" s="26">
        <f>IF(COUNT(P9:S9)&lt;4,"",SUM(P9:S9))</f>
        <v/>
      </c>
      <c r="AQ9" s="26">
        <f>IF(COUNT(T9:W9)&lt;4,"",SUM(T9:W9))</f>
        <v/>
      </c>
      <c r="AR9" s="26">
        <f>IF(COUNT(X9:Z9)&lt;3,"",SUM(X9:Z9))</f>
        <v/>
      </c>
    </row>
    <row r="10">
      <c r="A10" s="1" t="n"/>
      <c r="B10" s="9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" t="n"/>
      <c r="AB10" s="23">
        <f>IF(COUNT(C10:F10)&lt;4,"",AVERAGE(C10:F10))</f>
        <v/>
      </c>
      <c r="AC10" s="23">
        <f>IF(COUNT(G10:I10)&lt;3,"",AVERAGE(G10:I10))</f>
        <v/>
      </c>
      <c r="AD10" s="23">
        <f>IF(COUNT(J10:L10)&lt;3,"",AVERAGE(J10:L10))</f>
        <v/>
      </c>
      <c r="AE10" s="23">
        <f>IF(COUNT(M10:O10)&lt;3,"",AVERAGE(M10:O10))</f>
        <v/>
      </c>
      <c r="AF10" s="23">
        <f>IF(COUNT(P10:S10)&lt;4,"",AVERAGE(P10:S10))</f>
        <v/>
      </c>
      <c r="AG10" s="23">
        <f>IF(COUNT(T10:W10)&lt;4,"",AVERAGE(T10:W10))</f>
        <v/>
      </c>
      <c r="AH10" s="23">
        <f>IF(COUNT(X10:Z10)&lt;3,"",AVERAGE(X10:Z10))</f>
        <v/>
      </c>
      <c r="AI10" s="24">
        <f>IF(COUNT(AB10:AH10)&lt;7,"",AVERAGE(AB10:AH10))</f>
        <v/>
      </c>
      <c r="AJ10" s="25">
        <f>IF(AI10="","",IF(AI10&gt;=4.21,"Excellent",IF(AI10&gt;=3.41,"Very good",IF(AI10&gt;=2.61,"Good",IF(AI10&gt;=1.81,"Fair","Poor")))))</f>
        <v/>
      </c>
      <c r="AK10" s="1" t="n"/>
      <c r="AL10" s="26">
        <f>IF(COUNT(C10:F10)&lt;4,"",SUM(C10:F10))</f>
        <v/>
      </c>
      <c r="AM10" s="26">
        <f>IF(COUNT(G10:I10)&lt;3,"",SUM(G10:I10))</f>
        <v/>
      </c>
      <c r="AN10" s="26">
        <f>IF(COUNT(J10:L10)&lt;3,"",SUM(J10:L10))</f>
        <v/>
      </c>
      <c r="AO10" s="26">
        <f>IF(COUNT(M10:O10)&lt;3,"",SUM(M10:O10))</f>
        <v/>
      </c>
      <c r="AP10" s="26">
        <f>IF(COUNT(P10:S10)&lt;4,"",SUM(P10:S10))</f>
        <v/>
      </c>
      <c r="AQ10" s="26">
        <f>IF(COUNT(T10:W10)&lt;4,"",SUM(T10:W10))</f>
        <v/>
      </c>
      <c r="AR10" s="26">
        <f>IF(COUNT(X10:Z10)&lt;3,"",SUM(X10:Z10))</f>
        <v/>
      </c>
    </row>
    <row r="11">
      <c r="A11" s="1" t="n"/>
      <c r="B11" s="9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" t="n"/>
      <c r="AB11" s="23">
        <f>IF(COUNT(C11:F11)&lt;4,"",AVERAGE(C11:F11))</f>
        <v/>
      </c>
      <c r="AC11" s="23">
        <f>IF(COUNT(G11:I11)&lt;3,"",AVERAGE(G11:I11))</f>
        <v/>
      </c>
      <c r="AD11" s="23">
        <f>IF(COUNT(J11:L11)&lt;3,"",AVERAGE(J11:L11))</f>
        <v/>
      </c>
      <c r="AE11" s="23">
        <f>IF(COUNT(M11:O11)&lt;3,"",AVERAGE(M11:O11))</f>
        <v/>
      </c>
      <c r="AF11" s="23">
        <f>IF(COUNT(P11:S11)&lt;4,"",AVERAGE(P11:S11))</f>
        <v/>
      </c>
      <c r="AG11" s="23">
        <f>IF(COUNT(T11:W11)&lt;4,"",AVERAGE(T11:W11))</f>
        <v/>
      </c>
      <c r="AH11" s="23">
        <f>IF(COUNT(X11:Z11)&lt;3,"",AVERAGE(X11:Z11))</f>
        <v/>
      </c>
      <c r="AI11" s="24">
        <f>IF(COUNT(AB11:AH11)&lt;7,"",AVERAGE(AB11:AH11))</f>
        <v/>
      </c>
      <c r="AJ11" s="25">
        <f>IF(AI11="","",IF(AI11&gt;=4.21,"Excellent",IF(AI11&gt;=3.41,"Very good",IF(AI11&gt;=2.61,"Good",IF(AI11&gt;=1.81,"Fair","Poor")))))</f>
        <v/>
      </c>
      <c r="AK11" s="1" t="n"/>
      <c r="AL11" s="26">
        <f>IF(COUNT(C11:F11)&lt;4,"",SUM(C11:F11))</f>
        <v/>
      </c>
      <c r="AM11" s="26">
        <f>IF(COUNT(G11:I11)&lt;3,"",SUM(G11:I11))</f>
        <v/>
      </c>
      <c r="AN11" s="26">
        <f>IF(COUNT(J11:L11)&lt;3,"",SUM(J11:L11))</f>
        <v/>
      </c>
      <c r="AO11" s="26">
        <f>IF(COUNT(M11:O11)&lt;3,"",SUM(M11:O11))</f>
        <v/>
      </c>
      <c r="AP11" s="26">
        <f>IF(COUNT(P11:S11)&lt;4,"",SUM(P11:S11))</f>
        <v/>
      </c>
      <c r="AQ11" s="26">
        <f>IF(COUNT(T11:W11)&lt;4,"",SUM(T11:W11))</f>
        <v/>
      </c>
      <c r="AR11" s="26">
        <f>IF(COUNT(X11:Z11)&lt;3,"",SUM(X11:Z11))</f>
        <v/>
      </c>
    </row>
    <row r="12">
      <c r="A12" s="1" t="n"/>
      <c r="B12" s="9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  <c r="V12" s="10" t="n"/>
      <c r="W12" s="10" t="n"/>
      <c r="X12" s="10" t="n"/>
      <c r="Y12" s="10" t="n"/>
      <c r="Z12" s="10" t="n"/>
      <c r="AA12" s="1" t="n"/>
      <c r="AB12" s="23">
        <f>IF(COUNT(C12:F12)&lt;4,"",AVERAGE(C12:F12))</f>
        <v/>
      </c>
      <c r="AC12" s="23">
        <f>IF(COUNT(G12:I12)&lt;3,"",AVERAGE(G12:I12))</f>
        <v/>
      </c>
      <c r="AD12" s="23">
        <f>IF(COUNT(J12:L12)&lt;3,"",AVERAGE(J12:L12))</f>
        <v/>
      </c>
      <c r="AE12" s="23">
        <f>IF(COUNT(M12:O12)&lt;3,"",AVERAGE(M12:O12))</f>
        <v/>
      </c>
      <c r="AF12" s="23">
        <f>IF(COUNT(P12:S12)&lt;4,"",AVERAGE(P12:S12))</f>
        <v/>
      </c>
      <c r="AG12" s="23">
        <f>IF(COUNT(T12:W12)&lt;4,"",AVERAGE(T12:W12))</f>
        <v/>
      </c>
      <c r="AH12" s="23">
        <f>IF(COUNT(X12:Z12)&lt;3,"",AVERAGE(X12:Z12))</f>
        <v/>
      </c>
      <c r="AI12" s="24">
        <f>IF(COUNT(AB12:AH12)&lt;7,"",AVERAGE(AB12:AH12))</f>
        <v/>
      </c>
      <c r="AJ12" s="25">
        <f>IF(AI12="","",IF(AI12&gt;=4.21,"Excellent",IF(AI12&gt;=3.41,"Very good",IF(AI12&gt;=2.61,"Good",IF(AI12&gt;=1.81,"Fair","Poor")))))</f>
        <v/>
      </c>
      <c r="AK12" s="1" t="n"/>
      <c r="AL12" s="26">
        <f>IF(COUNT(C12:F12)&lt;4,"",SUM(C12:F12))</f>
        <v/>
      </c>
      <c r="AM12" s="26">
        <f>IF(COUNT(G12:I12)&lt;3,"",SUM(G12:I12))</f>
        <v/>
      </c>
      <c r="AN12" s="26">
        <f>IF(COUNT(J12:L12)&lt;3,"",SUM(J12:L12))</f>
        <v/>
      </c>
      <c r="AO12" s="26">
        <f>IF(COUNT(M12:O12)&lt;3,"",SUM(M12:O12))</f>
        <v/>
      </c>
      <c r="AP12" s="26">
        <f>IF(COUNT(P12:S12)&lt;4,"",SUM(P12:S12))</f>
        <v/>
      </c>
      <c r="AQ12" s="26">
        <f>IF(COUNT(T12:W12)&lt;4,"",SUM(T12:W12))</f>
        <v/>
      </c>
      <c r="AR12" s="26">
        <f>IF(COUNT(X12:Z12)&lt;3,"",SUM(X12:Z12))</f>
        <v/>
      </c>
    </row>
    <row r="13">
      <c r="A13" s="1" t="n"/>
      <c r="B13" s="9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" t="n"/>
      <c r="AB13" s="23">
        <f>IF(COUNT(C13:F13)&lt;4,"",AVERAGE(C13:F13))</f>
        <v/>
      </c>
      <c r="AC13" s="23">
        <f>IF(COUNT(G13:I13)&lt;3,"",AVERAGE(G13:I13))</f>
        <v/>
      </c>
      <c r="AD13" s="23">
        <f>IF(COUNT(J13:L13)&lt;3,"",AVERAGE(J13:L13))</f>
        <v/>
      </c>
      <c r="AE13" s="23">
        <f>IF(COUNT(M13:O13)&lt;3,"",AVERAGE(M13:O13))</f>
        <v/>
      </c>
      <c r="AF13" s="23">
        <f>IF(COUNT(P13:S13)&lt;4,"",AVERAGE(P13:S13))</f>
        <v/>
      </c>
      <c r="AG13" s="23">
        <f>IF(COUNT(T13:W13)&lt;4,"",AVERAGE(T13:W13))</f>
        <v/>
      </c>
      <c r="AH13" s="23">
        <f>IF(COUNT(X13:Z13)&lt;3,"",AVERAGE(X13:Z13))</f>
        <v/>
      </c>
      <c r="AI13" s="24">
        <f>IF(COUNT(AB13:AH13)&lt;7,"",AVERAGE(AB13:AH13))</f>
        <v/>
      </c>
      <c r="AJ13" s="25">
        <f>IF(AI13="","",IF(AI13&gt;=4.21,"Excellent",IF(AI13&gt;=3.41,"Very good",IF(AI13&gt;=2.61,"Good",IF(AI13&gt;=1.81,"Fair","Poor")))))</f>
        <v/>
      </c>
      <c r="AK13" s="1" t="n"/>
      <c r="AL13" s="26">
        <f>IF(COUNT(C13:F13)&lt;4,"",SUM(C13:F13))</f>
        <v/>
      </c>
      <c r="AM13" s="26">
        <f>IF(COUNT(G13:I13)&lt;3,"",SUM(G13:I13))</f>
        <v/>
      </c>
      <c r="AN13" s="26">
        <f>IF(COUNT(J13:L13)&lt;3,"",SUM(J13:L13))</f>
        <v/>
      </c>
      <c r="AO13" s="26">
        <f>IF(COUNT(M13:O13)&lt;3,"",SUM(M13:O13))</f>
        <v/>
      </c>
      <c r="AP13" s="26">
        <f>IF(COUNT(P13:S13)&lt;4,"",SUM(P13:S13))</f>
        <v/>
      </c>
      <c r="AQ13" s="26">
        <f>IF(COUNT(T13:W13)&lt;4,"",SUM(T13:W13))</f>
        <v/>
      </c>
      <c r="AR13" s="26">
        <f>IF(COUNT(X13:Z13)&lt;3,"",SUM(X13:Z13))</f>
        <v/>
      </c>
    </row>
    <row r="14">
      <c r="A14" s="1" t="n"/>
      <c r="B14" s="9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" t="n"/>
      <c r="AB14" s="23">
        <f>IF(COUNT(C14:F14)&lt;4,"",AVERAGE(C14:F14))</f>
        <v/>
      </c>
      <c r="AC14" s="23">
        <f>IF(COUNT(G14:I14)&lt;3,"",AVERAGE(G14:I14))</f>
        <v/>
      </c>
      <c r="AD14" s="23">
        <f>IF(COUNT(J14:L14)&lt;3,"",AVERAGE(J14:L14))</f>
        <v/>
      </c>
      <c r="AE14" s="23">
        <f>IF(COUNT(M14:O14)&lt;3,"",AVERAGE(M14:O14))</f>
        <v/>
      </c>
      <c r="AF14" s="23">
        <f>IF(COUNT(P14:S14)&lt;4,"",AVERAGE(P14:S14))</f>
        <v/>
      </c>
      <c r="AG14" s="23">
        <f>IF(COUNT(T14:W14)&lt;4,"",AVERAGE(T14:W14))</f>
        <v/>
      </c>
      <c r="AH14" s="23">
        <f>IF(COUNT(X14:Z14)&lt;3,"",AVERAGE(X14:Z14))</f>
        <v/>
      </c>
      <c r="AI14" s="24">
        <f>IF(COUNT(AB14:AH14)&lt;7,"",AVERAGE(AB14:AH14))</f>
        <v/>
      </c>
      <c r="AJ14" s="25">
        <f>IF(AI14="","",IF(AI14&gt;=4.21,"Excellent",IF(AI14&gt;=3.41,"Very good",IF(AI14&gt;=2.61,"Good",IF(AI14&gt;=1.81,"Fair","Poor")))))</f>
        <v/>
      </c>
      <c r="AK14" s="1" t="n"/>
      <c r="AL14" s="26">
        <f>IF(COUNT(C14:F14)&lt;4,"",SUM(C14:F14))</f>
        <v/>
      </c>
      <c r="AM14" s="26">
        <f>IF(COUNT(G14:I14)&lt;3,"",SUM(G14:I14))</f>
        <v/>
      </c>
      <c r="AN14" s="26">
        <f>IF(COUNT(J14:L14)&lt;3,"",SUM(J14:L14))</f>
        <v/>
      </c>
      <c r="AO14" s="26">
        <f>IF(COUNT(M14:O14)&lt;3,"",SUM(M14:O14))</f>
        <v/>
      </c>
      <c r="AP14" s="26">
        <f>IF(COUNT(P14:S14)&lt;4,"",SUM(P14:S14))</f>
        <v/>
      </c>
      <c r="AQ14" s="26">
        <f>IF(COUNT(T14:W14)&lt;4,"",SUM(T14:W14))</f>
        <v/>
      </c>
      <c r="AR14" s="26">
        <f>IF(COUNT(X14:Z14)&lt;3,"",SUM(X14:Z14))</f>
        <v/>
      </c>
    </row>
    <row r="15">
      <c r="A15" s="1" t="n"/>
      <c r="B15" s="9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0" t="n"/>
      <c r="Y15" s="10" t="n"/>
      <c r="Z15" s="10" t="n"/>
      <c r="AA15" s="1" t="n"/>
      <c r="AB15" s="23">
        <f>IF(COUNT(C15:F15)&lt;4,"",AVERAGE(C15:F15))</f>
        <v/>
      </c>
      <c r="AC15" s="23">
        <f>IF(COUNT(G15:I15)&lt;3,"",AVERAGE(G15:I15))</f>
        <v/>
      </c>
      <c r="AD15" s="23">
        <f>IF(COUNT(J15:L15)&lt;3,"",AVERAGE(J15:L15))</f>
        <v/>
      </c>
      <c r="AE15" s="23">
        <f>IF(COUNT(M15:O15)&lt;3,"",AVERAGE(M15:O15))</f>
        <v/>
      </c>
      <c r="AF15" s="23">
        <f>IF(COUNT(P15:S15)&lt;4,"",AVERAGE(P15:S15))</f>
        <v/>
      </c>
      <c r="AG15" s="23">
        <f>IF(COUNT(T15:W15)&lt;4,"",AVERAGE(T15:W15))</f>
        <v/>
      </c>
      <c r="AH15" s="23">
        <f>IF(COUNT(X15:Z15)&lt;3,"",AVERAGE(X15:Z15))</f>
        <v/>
      </c>
      <c r="AI15" s="24">
        <f>IF(COUNT(AB15:AH15)&lt;7,"",AVERAGE(AB15:AH15))</f>
        <v/>
      </c>
      <c r="AJ15" s="25">
        <f>IF(AI15="","",IF(AI15&gt;=4.21,"Excellent",IF(AI15&gt;=3.41,"Very good",IF(AI15&gt;=2.61,"Good",IF(AI15&gt;=1.81,"Fair","Poor")))))</f>
        <v/>
      </c>
      <c r="AK15" s="1" t="n"/>
      <c r="AL15" s="26">
        <f>IF(COUNT(C15:F15)&lt;4,"",SUM(C15:F15))</f>
        <v/>
      </c>
      <c r="AM15" s="26">
        <f>IF(COUNT(G15:I15)&lt;3,"",SUM(G15:I15))</f>
        <v/>
      </c>
      <c r="AN15" s="26">
        <f>IF(COUNT(J15:L15)&lt;3,"",SUM(J15:L15))</f>
        <v/>
      </c>
      <c r="AO15" s="26">
        <f>IF(COUNT(M15:O15)&lt;3,"",SUM(M15:O15))</f>
        <v/>
      </c>
      <c r="AP15" s="26">
        <f>IF(COUNT(P15:S15)&lt;4,"",SUM(P15:S15))</f>
        <v/>
      </c>
      <c r="AQ15" s="26">
        <f>IF(COUNT(T15:W15)&lt;4,"",SUM(T15:W15))</f>
        <v/>
      </c>
      <c r="AR15" s="26">
        <f>IF(COUNT(X15:Z15)&lt;3,"",SUM(X15:Z15))</f>
        <v/>
      </c>
    </row>
    <row r="16">
      <c r="A16" s="1" t="n"/>
      <c r="B16" s="9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  <c r="V16" s="10" t="n"/>
      <c r="W16" s="10" t="n"/>
      <c r="X16" s="10" t="n"/>
      <c r="Y16" s="10" t="n"/>
      <c r="Z16" s="10" t="n"/>
      <c r="AA16" s="1" t="n"/>
      <c r="AB16" s="23">
        <f>IF(COUNT(C16:F16)&lt;4,"",AVERAGE(C16:F16))</f>
        <v/>
      </c>
      <c r="AC16" s="23">
        <f>IF(COUNT(G16:I16)&lt;3,"",AVERAGE(G16:I16))</f>
        <v/>
      </c>
      <c r="AD16" s="23">
        <f>IF(COUNT(J16:L16)&lt;3,"",AVERAGE(J16:L16))</f>
        <v/>
      </c>
      <c r="AE16" s="23">
        <f>IF(COUNT(M16:O16)&lt;3,"",AVERAGE(M16:O16))</f>
        <v/>
      </c>
      <c r="AF16" s="23">
        <f>IF(COUNT(P16:S16)&lt;4,"",AVERAGE(P16:S16))</f>
        <v/>
      </c>
      <c r="AG16" s="23">
        <f>IF(COUNT(T16:W16)&lt;4,"",AVERAGE(T16:W16))</f>
        <v/>
      </c>
      <c r="AH16" s="23">
        <f>IF(COUNT(X16:Z16)&lt;3,"",AVERAGE(X16:Z16))</f>
        <v/>
      </c>
      <c r="AI16" s="24">
        <f>IF(COUNT(AB16:AH16)&lt;7,"",AVERAGE(AB16:AH16))</f>
        <v/>
      </c>
      <c r="AJ16" s="25">
        <f>IF(AI16="","",IF(AI16&gt;=4.21,"Excellent",IF(AI16&gt;=3.41,"Very good",IF(AI16&gt;=2.61,"Good",IF(AI16&gt;=1.81,"Fair","Poor")))))</f>
        <v/>
      </c>
      <c r="AK16" s="1" t="n"/>
      <c r="AL16" s="26">
        <f>IF(COUNT(C16:F16)&lt;4,"",SUM(C16:F16))</f>
        <v/>
      </c>
      <c r="AM16" s="26">
        <f>IF(COUNT(G16:I16)&lt;3,"",SUM(G16:I16))</f>
        <v/>
      </c>
      <c r="AN16" s="26">
        <f>IF(COUNT(J16:L16)&lt;3,"",SUM(J16:L16))</f>
        <v/>
      </c>
      <c r="AO16" s="26">
        <f>IF(COUNT(M16:O16)&lt;3,"",SUM(M16:O16))</f>
        <v/>
      </c>
      <c r="AP16" s="26">
        <f>IF(COUNT(P16:S16)&lt;4,"",SUM(P16:S16))</f>
        <v/>
      </c>
      <c r="AQ16" s="26">
        <f>IF(COUNT(T16:W16)&lt;4,"",SUM(T16:W16))</f>
        <v/>
      </c>
      <c r="AR16" s="26">
        <f>IF(COUNT(X16:Z16)&lt;3,"",SUM(X16:Z16))</f>
        <v/>
      </c>
    </row>
    <row r="17">
      <c r="A17" s="1" t="n"/>
      <c r="B17" s="9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" t="n"/>
      <c r="AB17" s="23">
        <f>IF(COUNT(C17:F17)&lt;4,"",AVERAGE(C17:F17))</f>
        <v/>
      </c>
      <c r="AC17" s="23">
        <f>IF(COUNT(G17:I17)&lt;3,"",AVERAGE(G17:I17))</f>
        <v/>
      </c>
      <c r="AD17" s="23">
        <f>IF(COUNT(J17:L17)&lt;3,"",AVERAGE(J17:L17))</f>
        <v/>
      </c>
      <c r="AE17" s="23">
        <f>IF(COUNT(M17:O17)&lt;3,"",AVERAGE(M17:O17))</f>
        <v/>
      </c>
      <c r="AF17" s="23">
        <f>IF(COUNT(P17:S17)&lt;4,"",AVERAGE(P17:S17))</f>
        <v/>
      </c>
      <c r="AG17" s="23">
        <f>IF(COUNT(T17:W17)&lt;4,"",AVERAGE(T17:W17))</f>
        <v/>
      </c>
      <c r="AH17" s="23">
        <f>IF(COUNT(X17:Z17)&lt;3,"",AVERAGE(X17:Z17))</f>
        <v/>
      </c>
      <c r="AI17" s="24">
        <f>IF(COUNT(AB17:AH17)&lt;7,"",AVERAGE(AB17:AH17))</f>
        <v/>
      </c>
      <c r="AJ17" s="25">
        <f>IF(AI17="","",IF(AI17&gt;=4.21,"Excellent",IF(AI17&gt;=3.41,"Very good",IF(AI17&gt;=2.61,"Good",IF(AI17&gt;=1.81,"Fair","Poor")))))</f>
        <v/>
      </c>
      <c r="AK17" s="1" t="n"/>
      <c r="AL17" s="26">
        <f>IF(COUNT(C17:F17)&lt;4,"",SUM(C17:F17))</f>
        <v/>
      </c>
      <c r="AM17" s="26">
        <f>IF(COUNT(G17:I17)&lt;3,"",SUM(G17:I17))</f>
        <v/>
      </c>
      <c r="AN17" s="26">
        <f>IF(COUNT(J17:L17)&lt;3,"",SUM(J17:L17))</f>
        <v/>
      </c>
      <c r="AO17" s="26">
        <f>IF(COUNT(M17:O17)&lt;3,"",SUM(M17:O17))</f>
        <v/>
      </c>
      <c r="AP17" s="26">
        <f>IF(COUNT(P17:S17)&lt;4,"",SUM(P17:S17))</f>
        <v/>
      </c>
      <c r="AQ17" s="26">
        <f>IF(COUNT(T17:W17)&lt;4,"",SUM(T17:W17))</f>
        <v/>
      </c>
      <c r="AR17" s="26">
        <f>IF(COUNT(X17:Z17)&lt;3,"",SUM(X17:Z17))</f>
        <v/>
      </c>
    </row>
    <row r="18">
      <c r="A18" s="1" t="n"/>
      <c r="B18" s="9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  <c r="AA18" s="1" t="n"/>
      <c r="AB18" s="23">
        <f>IF(COUNT(C18:F18)&lt;4,"",AVERAGE(C18:F18))</f>
        <v/>
      </c>
      <c r="AC18" s="23">
        <f>IF(COUNT(G18:I18)&lt;3,"",AVERAGE(G18:I18))</f>
        <v/>
      </c>
      <c r="AD18" s="23">
        <f>IF(COUNT(J18:L18)&lt;3,"",AVERAGE(J18:L18))</f>
        <v/>
      </c>
      <c r="AE18" s="23">
        <f>IF(COUNT(M18:O18)&lt;3,"",AVERAGE(M18:O18))</f>
        <v/>
      </c>
      <c r="AF18" s="23">
        <f>IF(COUNT(P18:S18)&lt;4,"",AVERAGE(P18:S18))</f>
        <v/>
      </c>
      <c r="AG18" s="23">
        <f>IF(COUNT(T18:W18)&lt;4,"",AVERAGE(T18:W18))</f>
        <v/>
      </c>
      <c r="AH18" s="23">
        <f>IF(COUNT(X18:Z18)&lt;3,"",AVERAGE(X18:Z18))</f>
        <v/>
      </c>
      <c r="AI18" s="24">
        <f>IF(COUNT(AB18:AH18)&lt;7,"",AVERAGE(AB18:AH18))</f>
        <v/>
      </c>
      <c r="AJ18" s="25">
        <f>IF(AI18="","",IF(AI18&gt;=4.21,"Excellent",IF(AI18&gt;=3.41,"Very good",IF(AI18&gt;=2.61,"Good",IF(AI18&gt;=1.81,"Fair","Poor")))))</f>
        <v/>
      </c>
      <c r="AK18" s="1" t="n"/>
      <c r="AL18" s="26">
        <f>IF(COUNT(C18:F18)&lt;4,"",SUM(C18:F18))</f>
        <v/>
      </c>
      <c r="AM18" s="26">
        <f>IF(COUNT(G18:I18)&lt;3,"",SUM(G18:I18))</f>
        <v/>
      </c>
      <c r="AN18" s="26">
        <f>IF(COUNT(J18:L18)&lt;3,"",SUM(J18:L18))</f>
        <v/>
      </c>
      <c r="AO18" s="26">
        <f>IF(COUNT(M18:O18)&lt;3,"",SUM(M18:O18))</f>
        <v/>
      </c>
      <c r="AP18" s="26">
        <f>IF(COUNT(P18:S18)&lt;4,"",SUM(P18:S18))</f>
        <v/>
      </c>
      <c r="AQ18" s="26">
        <f>IF(COUNT(T18:W18)&lt;4,"",SUM(T18:W18))</f>
        <v/>
      </c>
      <c r="AR18" s="26">
        <f>IF(COUNT(X18:Z18)&lt;3,"",SUM(X18:Z18))</f>
        <v/>
      </c>
    </row>
    <row r="19">
      <c r="A19" s="1" t="n"/>
      <c r="B19" s="9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" t="n"/>
      <c r="AB19" s="23">
        <f>IF(COUNT(C19:F19)&lt;4,"",AVERAGE(C19:F19))</f>
        <v/>
      </c>
      <c r="AC19" s="23">
        <f>IF(COUNT(G19:I19)&lt;3,"",AVERAGE(G19:I19))</f>
        <v/>
      </c>
      <c r="AD19" s="23">
        <f>IF(COUNT(J19:L19)&lt;3,"",AVERAGE(J19:L19))</f>
        <v/>
      </c>
      <c r="AE19" s="23">
        <f>IF(COUNT(M19:O19)&lt;3,"",AVERAGE(M19:O19))</f>
        <v/>
      </c>
      <c r="AF19" s="23">
        <f>IF(COUNT(P19:S19)&lt;4,"",AVERAGE(P19:S19))</f>
        <v/>
      </c>
      <c r="AG19" s="23">
        <f>IF(COUNT(T19:W19)&lt;4,"",AVERAGE(T19:W19))</f>
        <v/>
      </c>
      <c r="AH19" s="23">
        <f>IF(COUNT(X19:Z19)&lt;3,"",AVERAGE(X19:Z19))</f>
        <v/>
      </c>
      <c r="AI19" s="24">
        <f>IF(COUNT(AB19:AH19)&lt;7,"",AVERAGE(AB19:AH19))</f>
        <v/>
      </c>
      <c r="AJ19" s="25">
        <f>IF(AI19="","",IF(AI19&gt;=4.21,"Excellent",IF(AI19&gt;=3.41,"Very good",IF(AI19&gt;=2.61,"Good",IF(AI19&gt;=1.81,"Fair","Poor")))))</f>
        <v/>
      </c>
      <c r="AK19" s="1" t="n"/>
      <c r="AL19" s="26">
        <f>IF(COUNT(C19:F19)&lt;4,"",SUM(C19:F19))</f>
        <v/>
      </c>
      <c r="AM19" s="26">
        <f>IF(COUNT(G19:I19)&lt;3,"",SUM(G19:I19))</f>
        <v/>
      </c>
      <c r="AN19" s="26">
        <f>IF(COUNT(J19:L19)&lt;3,"",SUM(J19:L19))</f>
        <v/>
      </c>
      <c r="AO19" s="26">
        <f>IF(COUNT(M19:O19)&lt;3,"",SUM(M19:O19))</f>
        <v/>
      </c>
      <c r="AP19" s="26">
        <f>IF(COUNT(P19:S19)&lt;4,"",SUM(P19:S19))</f>
        <v/>
      </c>
      <c r="AQ19" s="26">
        <f>IF(COUNT(T19:W19)&lt;4,"",SUM(T19:W19))</f>
        <v/>
      </c>
      <c r="AR19" s="26">
        <f>IF(COUNT(X19:Z19)&lt;3,"",SUM(X19:Z19))</f>
        <v/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</row>
    <row r="21">
      <c r="A21" s="1" t="n"/>
      <c r="B21" s="13" t="inlineStr">
        <is>
          <t>Item variance (for alpha)</t>
        </is>
      </c>
      <c r="C21" s="27">
        <f>IF(COUNT(C5:C19)&lt;3,"",VAR(C5:C19))</f>
        <v/>
      </c>
      <c r="D21" s="27">
        <f>IF(COUNT(D5:D19)&lt;3,"",VAR(D5:D19))</f>
        <v/>
      </c>
      <c r="E21" s="27">
        <f>IF(COUNT(E5:E19)&lt;3,"",VAR(E5:E19))</f>
        <v/>
      </c>
      <c r="F21" s="27">
        <f>IF(COUNT(F5:F19)&lt;3,"",VAR(F5:F19))</f>
        <v/>
      </c>
      <c r="G21" s="27">
        <f>IF(COUNT(G5:G19)&lt;3,"",VAR(G5:G19))</f>
        <v/>
      </c>
      <c r="H21" s="27">
        <f>IF(COUNT(H5:H19)&lt;3,"",VAR(H5:H19))</f>
        <v/>
      </c>
      <c r="I21" s="27">
        <f>IF(COUNT(I5:I19)&lt;3,"",VAR(I5:I19))</f>
        <v/>
      </c>
      <c r="J21" s="27">
        <f>IF(COUNT(J5:J19)&lt;3,"",VAR(J5:J19))</f>
        <v/>
      </c>
      <c r="K21" s="27">
        <f>IF(COUNT(K5:K19)&lt;3,"",VAR(K5:K19))</f>
        <v/>
      </c>
      <c r="L21" s="27">
        <f>IF(COUNT(L5:L19)&lt;3,"",VAR(L5:L19))</f>
        <v/>
      </c>
      <c r="M21" s="27">
        <f>IF(COUNT(M5:M19)&lt;3,"",VAR(M5:M19))</f>
        <v/>
      </c>
      <c r="N21" s="27">
        <f>IF(COUNT(N5:N19)&lt;3,"",VAR(N5:N19))</f>
        <v/>
      </c>
      <c r="O21" s="27">
        <f>IF(COUNT(O5:O19)&lt;3,"",VAR(O5:O19))</f>
        <v/>
      </c>
      <c r="P21" s="27">
        <f>IF(COUNT(P5:P19)&lt;3,"",VAR(P5:P19))</f>
        <v/>
      </c>
      <c r="Q21" s="27">
        <f>IF(COUNT(Q5:Q19)&lt;3,"",VAR(Q5:Q19))</f>
        <v/>
      </c>
      <c r="R21" s="27">
        <f>IF(COUNT(R5:R19)&lt;3,"",VAR(R5:R19))</f>
        <v/>
      </c>
      <c r="S21" s="27">
        <f>IF(COUNT(S5:S19)&lt;3,"",VAR(S5:S19))</f>
        <v/>
      </c>
      <c r="T21" s="27">
        <f>IF(COUNT(T5:T19)&lt;3,"",VAR(T5:T19))</f>
        <v/>
      </c>
      <c r="U21" s="27">
        <f>IF(COUNT(U5:U19)&lt;3,"",VAR(U5:U19))</f>
        <v/>
      </c>
      <c r="V21" s="27">
        <f>IF(COUNT(V5:V19)&lt;3,"",VAR(V5:V19))</f>
        <v/>
      </c>
      <c r="W21" s="27">
        <f>IF(COUNT(W5:W19)&lt;3,"",VAR(W5:W19))</f>
        <v/>
      </c>
      <c r="X21" s="27">
        <f>IF(COUNT(X5:X19)&lt;3,"",VAR(X5:X19))</f>
        <v/>
      </c>
      <c r="Y21" s="27">
        <f>IF(COUNT(Y5:Y19)&lt;3,"",VAR(Y5:Y19))</f>
        <v/>
      </c>
      <c r="Z21" s="27">
        <f>IF(COUNT(Z5:Z19)&lt;3,"",VAR(Z5:Z19))</f>
        <v/>
      </c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</row>
    <row r="23">
      <c r="A23" s="1" t="n"/>
      <c r="B23" s="15" t="inlineStr">
        <is>
          <t>SUMMARY BY CHARACTERISTIC</t>
        </is>
      </c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</row>
    <row r="24">
      <c r="A24" s="1" t="n"/>
      <c r="B24" s="19" t="inlineStr">
        <is>
          <t>Characteristic</t>
        </is>
      </c>
      <c r="C24" s="19" t="inlineStr">
        <is>
          <t>Items</t>
        </is>
      </c>
      <c r="D24" s="19" t="inlineStr">
        <is>
          <t>Mean</t>
        </is>
      </c>
      <c r="E24" s="19" t="inlineStr">
        <is>
          <t>Interpretation</t>
        </is>
      </c>
      <c r="F24" s="19" t="inlineStr">
        <is>
          <t>Cronbach's alpha</t>
        </is>
      </c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</row>
    <row r="25">
      <c r="A25" s="1" t="n"/>
      <c r="B25" s="21" t="inlineStr">
        <is>
          <t>Functional Suitability</t>
        </is>
      </c>
      <c r="C25" s="28" t="n">
        <v>4</v>
      </c>
      <c r="D25" s="29">
        <f>IF(COUNT(AB5:AB19)=0,"",AVERAGE(AB5:AB19))</f>
        <v/>
      </c>
      <c r="E25" s="30">
        <f>IF(D25="","",IF(D25&gt;=4.21,"Excellent",IF(D25&gt;=3.41,"Very good",IF(D25&gt;=2.61,"Good",IF(D25&gt;=1.81,"Fair","Poor")))))</f>
        <v/>
      </c>
      <c r="F25" s="29">
        <f>IF(COUNT(AL5:AL19)&lt;3,"",(4/3)*(1-SUM(C21:F21)/VAR(AL5:AL19)))</f>
        <v/>
      </c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</row>
    <row r="26">
      <c r="A26" s="1" t="n"/>
      <c r="B26" s="21" t="inlineStr">
        <is>
          <t>Performance Efficiency</t>
        </is>
      </c>
      <c r="C26" s="28" t="n">
        <v>3</v>
      </c>
      <c r="D26" s="29">
        <f>IF(COUNT(AC5:AC19)=0,"",AVERAGE(AC5:AC19))</f>
        <v/>
      </c>
      <c r="E26" s="30">
        <f>IF(D26="","",IF(D26&gt;=4.21,"Excellent",IF(D26&gt;=3.41,"Very good",IF(D26&gt;=2.61,"Good",IF(D26&gt;=1.81,"Fair","Poor")))))</f>
        <v/>
      </c>
      <c r="F26" s="29">
        <f>IF(COUNT(AM5:AM19)&lt;3,"",(3/2)*(1-SUM(G21:I21)/VAR(AM5:AM19)))</f>
        <v/>
      </c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</row>
    <row r="27">
      <c r="A27" s="1" t="n"/>
      <c r="B27" s="21" t="inlineStr">
        <is>
          <t>Compatibility</t>
        </is>
      </c>
      <c r="C27" s="28" t="n">
        <v>3</v>
      </c>
      <c r="D27" s="29">
        <f>IF(COUNT(AD5:AD19)=0,"",AVERAGE(AD5:AD19))</f>
        <v/>
      </c>
      <c r="E27" s="30">
        <f>IF(D27="","",IF(D27&gt;=4.21,"Excellent",IF(D27&gt;=3.41,"Very good",IF(D27&gt;=2.61,"Good",IF(D27&gt;=1.81,"Fair","Poor")))))</f>
        <v/>
      </c>
      <c r="F27" s="29">
        <f>IF(COUNT(AN5:AN19)&lt;3,"",(3/2)*(1-SUM(J21:L21)/VAR(AN5:AN19)))</f>
        <v/>
      </c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</row>
    <row r="28">
      <c r="A28" s="1" t="n"/>
      <c r="B28" s="21" t="inlineStr">
        <is>
          <t>Reliability</t>
        </is>
      </c>
      <c r="C28" s="28" t="n">
        <v>3</v>
      </c>
      <c r="D28" s="29">
        <f>IF(COUNT(AE5:AE19)=0,"",AVERAGE(AE5:AE19))</f>
        <v/>
      </c>
      <c r="E28" s="30">
        <f>IF(D28="","",IF(D28&gt;=4.21,"Excellent",IF(D28&gt;=3.41,"Very good",IF(D28&gt;=2.61,"Good",IF(D28&gt;=1.81,"Fair","Poor")))))</f>
        <v/>
      </c>
      <c r="F28" s="29">
        <f>IF(COUNT(AO5:AO19)&lt;3,"",(3/2)*(1-SUM(M21:O21)/VAR(AO5:AO19)))</f>
        <v/>
      </c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</row>
    <row r="29">
      <c r="A29" s="1" t="n"/>
      <c r="B29" s="21" t="inlineStr">
        <is>
          <t>Security</t>
        </is>
      </c>
      <c r="C29" s="28" t="n">
        <v>4</v>
      </c>
      <c r="D29" s="29">
        <f>IF(COUNT(AF5:AF19)=0,"",AVERAGE(AF5:AF19))</f>
        <v/>
      </c>
      <c r="E29" s="30">
        <f>IF(D29="","",IF(D29&gt;=4.21,"Excellent",IF(D29&gt;=3.41,"Very good",IF(D29&gt;=2.61,"Good",IF(D29&gt;=1.81,"Fair","Poor")))))</f>
        <v/>
      </c>
      <c r="F29" s="29">
        <f>IF(COUNT(AP5:AP19)&lt;3,"",(4/3)*(1-SUM(P21:S21)/VAR(AP5:AP19)))</f>
        <v/>
      </c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</row>
    <row r="30">
      <c r="A30" s="1" t="n"/>
      <c r="B30" s="21" t="inlineStr">
        <is>
          <t>Maintainability</t>
        </is>
      </c>
      <c r="C30" s="28" t="n">
        <v>4</v>
      </c>
      <c r="D30" s="29">
        <f>IF(COUNT(AG5:AG19)=0,"",AVERAGE(AG5:AG19))</f>
        <v/>
      </c>
      <c r="E30" s="30">
        <f>IF(D30="","",IF(D30&gt;=4.21,"Excellent",IF(D30&gt;=3.41,"Very good",IF(D30&gt;=2.61,"Good",IF(D30&gt;=1.81,"Fair","Poor")))))</f>
        <v/>
      </c>
      <c r="F30" s="29">
        <f>IF(COUNT(AQ5:AQ19)&lt;3,"",(4/3)*(1-SUM(T21:W21)/VAR(AQ5:AQ19)))</f>
        <v/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</row>
    <row r="31">
      <c r="A31" s="1" t="n"/>
      <c r="B31" s="21" t="inlineStr">
        <is>
          <t>Portability</t>
        </is>
      </c>
      <c r="C31" s="28" t="n">
        <v>3</v>
      </c>
      <c r="D31" s="29">
        <f>IF(COUNT(AH5:AH19)=0,"",AVERAGE(AH5:AH19))</f>
        <v/>
      </c>
      <c r="E31" s="30">
        <f>IF(D31="","",IF(D31&gt;=4.21,"Excellent",IF(D31&gt;=3.41,"Very good",IF(D31&gt;=2.61,"Good",IF(D31&gt;=1.81,"Fair","Poor")))))</f>
        <v/>
      </c>
      <c r="F31" s="29">
        <f>IF(COUNT(AR5:AR19)&lt;3,"",(3/2)*(1-SUM(X21:Z21)/VAR(AR5:AR19)))</f>
        <v/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</row>
    <row r="32">
      <c r="A32" s="1" t="n"/>
      <c r="B32" s="16" t="inlineStr">
        <is>
          <t>GRAND MEAN</t>
        </is>
      </c>
      <c r="C32" s="13" t="inlineStr">
        <is>
          <t>n=15 rows</t>
        </is>
      </c>
      <c r="D32" s="31">
        <f>IF(COUNT(AI5:AI19)=0,"",AVERAGE(AI5:AI19))</f>
        <v/>
      </c>
      <c r="E32" s="16">
        <f>IF(D32="","",IF(D32&gt;=4.21,"Excellent",IF(D32&gt;=3.41,"Very good",IF(D32&gt;=2.61,"Good",IF(D32&gt;=1.81,"Fair","Poor")))))</f>
        <v/>
      </c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2026-10-05T15:57:15Z</dcterms:created>
  <dcterms:modified xmlns:dcterms="http://purl.org/dc/terms/" xmlns:xsi="http://www.w3.org/2001/XMLSchema-instance" xsi:type="dcterms:W3CDTF">2026-10-05T15:57:16Z</dcterms:modified>
</cp:coreProperties>
</file>